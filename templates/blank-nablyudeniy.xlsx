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ADFB095-2FBB-4022-A0E9-B2FA7B0614EC}" xr6:coauthVersionLast="47" xr6:coauthVersionMax="47" xr10:uidLastSave="{00000000-0000-0000-0000-000000000000}"/>
  <bookViews>
    <workbookView xWindow="-28920" yWindow="-90" windowWidth="29040" windowHeight="15840" xr2:uid="{00000000-000D-0000-FFFF-FFFF00000000}"/>
  </bookViews>
  <sheets>
    <sheet name="Карта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N2" i="1" l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P2" i="1"/>
  <c r="Q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BL41" i="1"/>
  <c r="BK41" i="1"/>
  <c r="BJ41" i="1"/>
  <c r="BI41" i="1"/>
  <c r="BL40" i="1"/>
  <c r="BK40" i="1"/>
  <c r="BJ40" i="1"/>
  <c r="BI40" i="1"/>
  <c r="BL39" i="1"/>
  <c r="BK39" i="1"/>
  <c r="BJ39" i="1"/>
  <c r="BI39" i="1"/>
  <c r="BL38" i="1"/>
  <c r="BK38" i="1"/>
  <c r="BJ38" i="1"/>
  <c r="BI38" i="1"/>
  <c r="BL37" i="1"/>
  <c r="BK37" i="1"/>
  <c r="BJ37" i="1"/>
  <c r="BI37" i="1"/>
  <c r="BL36" i="1"/>
  <c r="BK36" i="1"/>
  <c r="BJ36" i="1"/>
  <c r="BI36" i="1"/>
  <c r="BL35" i="1"/>
  <c r="BK35" i="1"/>
  <c r="BJ35" i="1"/>
  <c r="BI35" i="1"/>
  <c r="BL34" i="1"/>
  <c r="BK34" i="1"/>
  <c r="BJ34" i="1"/>
  <c r="BI34" i="1"/>
  <c r="BL33" i="1"/>
  <c r="BK33" i="1"/>
  <c r="BJ33" i="1"/>
  <c r="BI33" i="1"/>
  <c r="BL32" i="1"/>
  <c r="BK32" i="1"/>
  <c r="BJ32" i="1"/>
  <c r="BI32" i="1"/>
  <c r="BL31" i="1"/>
  <c r="BK31" i="1"/>
  <c r="BJ31" i="1"/>
  <c r="BI31" i="1"/>
  <c r="BL30" i="1"/>
  <c r="BK30" i="1"/>
  <c r="BJ30" i="1"/>
  <c r="BI30" i="1"/>
  <c r="BL29" i="1"/>
  <c r="BK29" i="1"/>
  <c r="BJ29" i="1"/>
  <c r="BI29" i="1"/>
  <c r="BL28" i="1"/>
  <c r="BK28" i="1"/>
  <c r="BJ28" i="1"/>
  <c r="BI28" i="1"/>
  <c r="BL27" i="1"/>
  <c r="BK27" i="1"/>
  <c r="BJ27" i="1"/>
  <c r="BI27" i="1"/>
  <c r="BL26" i="1"/>
  <c r="BK26" i="1"/>
  <c r="BJ26" i="1"/>
  <c r="BI26" i="1"/>
  <c r="BL25" i="1"/>
  <c r="BK25" i="1"/>
  <c r="BJ25" i="1"/>
  <c r="BI25" i="1"/>
  <c r="BL24" i="1"/>
  <c r="BK24" i="1"/>
  <c r="BJ24" i="1"/>
  <c r="BI24" i="1"/>
  <c r="BL23" i="1"/>
  <c r="BK23" i="1"/>
  <c r="BJ23" i="1"/>
  <c r="BI23" i="1"/>
  <c r="BL22" i="1"/>
  <c r="BK22" i="1"/>
  <c r="BJ22" i="1"/>
  <c r="BI22" i="1"/>
  <c r="BL21" i="1"/>
  <c r="BK21" i="1"/>
  <c r="BJ21" i="1"/>
  <c r="BI21" i="1"/>
  <c r="BL20" i="1"/>
  <c r="BK20" i="1"/>
  <c r="BJ20" i="1"/>
  <c r="BI20" i="1"/>
  <c r="BL19" i="1"/>
  <c r="BK19" i="1"/>
  <c r="BJ19" i="1"/>
  <c r="BI19" i="1"/>
  <c r="BL18" i="1"/>
  <c r="BK18" i="1"/>
  <c r="BJ18" i="1"/>
  <c r="BI18" i="1"/>
  <c r="BL17" i="1"/>
  <c r="BK17" i="1"/>
  <c r="BJ17" i="1"/>
  <c r="BI17" i="1"/>
  <c r="BL16" i="1"/>
  <c r="BK16" i="1"/>
  <c r="BJ16" i="1"/>
  <c r="BI16" i="1"/>
  <c r="BL15" i="1"/>
  <c r="BK15" i="1"/>
  <c r="BJ15" i="1"/>
  <c r="BI15" i="1"/>
  <c r="BL14" i="1"/>
  <c r="BK14" i="1"/>
  <c r="BJ14" i="1"/>
  <c r="BI14" i="1"/>
  <c r="BL13" i="1"/>
  <c r="BK13" i="1"/>
  <c r="BJ13" i="1"/>
  <c r="BI13" i="1"/>
  <c r="BL12" i="1"/>
  <c r="BK12" i="1"/>
  <c r="BJ12" i="1"/>
  <c r="BI12" i="1"/>
  <c r="BL11" i="1"/>
  <c r="BK11" i="1"/>
  <c r="BJ11" i="1"/>
  <c r="BI11" i="1"/>
  <c r="BL10" i="1"/>
  <c r="BK10" i="1"/>
  <c r="BJ10" i="1"/>
  <c r="BI10" i="1"/>
  <c r="BL9" i="1"/>
  <c r="BK9" i="1"/>
  <c r="BJ9" i="1"/>
  <c r="BI9" i="1"/>
  <c r="BL8" i="1"/>
  <c r="BK8" i="1"/>
  <c r="BJ8" i="1"/>
  <c r="BI8" i="1"/>
  <c r="BL7" i="1"/>
  <c r="BK7" i="1"/>
  <c r="BJ7" i="1"/>
  <c r="BI7" i="1"/>
  <c r="BL6" i="1"/>
  <c r="BK6" i="1"/>
  <c r="BJ6" i="1"/>
  <c r="BI6" i="1"/>
  <c r="BL5" i="1"/>
  <c r="BK5" i="1"/>
  <c r="BJ5" i="1"/>
  <c r="BI5" i="1"/>
  <c r="BL4" i="1"/>
  <c r="BK4" i="1"/>
  <c r="BJ4" i="1"/>
  <c r="BI4" i="1"/>
  <c r="BL3" i="1"/>
  <c r="BK3" i="1"/>
  <c r="BJ3" i="1"/>
  <c r="BI3" i="1"/>
  <c r="BL2" i="1"/>
  <c r="BK2" i="1"/>
  <c r="BJ2" i="1"/>
  <c r="BI2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</calcChain>
</file>

<file path=xl/sharedStrings.xml><?xml version="1.0" encoding="utf-8"?>
<sst xmlns="http://schemas.openxmlformats.org/spreadsheetml/2006/main" count="216" uniqueCount="205">
  <si>
    <t>День цикла</t>
  </si>
  <si>
    <t>Факторы нарушения темп.</t>
  </si>
  <si>
    <t>Таблица состояния слизи</t>
  </si>
  <si>
    <t>Кровомазание</t>
  </si>
  <si>
    <t>мутная</t>
  </si>
  <si>
    <t>прозрачная</t>
  </si>
  <si>
    <t>как белок сырого яйца</t>
  </si>
  <si>
    <t>День пика слизи</t>
  </si>
  <si>
    <t>Изменения шейки матки - консистенция, положение, раскрытие</t>
  </si>
  <si>
    <t>Твердая или мягкая</t>
  </si>
  <si>
    <t>Низко или высоко,           Закрыта или открыта</t>
  </si>
  <si>
    <t>Телесные проявления (дополнительные признаки)</t>
  </si>
  <si>
    <t>Изменения настроения +/-</t>
  </si>
  <si>
    <t>Боли, вздутие живота</t>
  </si>
  <si>
    <t>Напряжение в груди</t>
  </si>
  <si>
    <t>Плодные дни</t>
  </si>
  <si>
    <t>Супружеская близость</t>
  </si>
  <si>
    <t>Длительность цикла</t>
  </si>
  <si>
    <t>День появления первой слизи</t>
  </si>
  <si>
    <t>Время измерения t°</t>
  </si>
  <si>
    <t>Способ измерения t°</t>
  </si>
  <si>
    <t>орально/ректально/вагинально</t>
  </si>
  <si>
    <t>Подъём БТТ на предыдущей карте</t>
  </si>
  <si>
    <t xml:space="preserve">Самый длинный (СД) за последние 12 циклов </t>
  </si>
  <si>
    <t>●</t>
  </si>
  <si>
    <t>Цикл №</t>
  </si>
  <si>
    <t>3-й (4-ый) день подъёма БТТ</t>
  </si>
  <si>
    <t>Предположительный последний неплодный день</t>
  </si>
  <si>
    <t xml:space="preserve"> в первой фазе цикла</t>
  </si>
  <si>
    <t>/</t>
  </si>
  <si>
    <t>Самый короткий (СК) за последние</t>
  </si>
  <si>
    <t>циклов</t>
  </si>
  <si>
    <t>36.0</t>
  </si>
  <si>
    <t>36.1</t>
  </si>
  <si>
    <t>36.2</t>
  </si>
  <si>
    <t>36.15</t>
  </si>
  <si>
    <t>35.95</t>
  </si>
  <si>
    <t>36.05</t>
  </si>
  <si>
    <t>37.0</t>
  </si>
  <si>
    <t>37.05</t>
  </si>
  <si>
    <t>37.1</t>
  </si>
  <si>
    <t>37.15</t>
  </si>
  <si>
    <t>37.2</t>
  </si>
  <si>
    <t>СК -</t>
  </si>
  <si>
    <t>День пика слизи + 3 дня</t>
  </si>
  <si>
    <t>Ощущение: сухо</t>
  </si>
  <si>
    <t>Цвет: не видно</t>
  </si>
  <si>
    <t>Ощущение: влажно</t>
  </si>
  <si>
    <t>Цвет: белая</t>
  </si>
  <si>
    <t>Тип: густая, как крем</t>
  </si>
  <si>
    <t>Ощущение: мокро</t>
  </si>
  <si>
    <t>35.9</t>
  </si>
  <si>
    <t>Новый термометр (НТ), измерение позже (П) или раньше (Р), плохое самочувствие (ПС), беспокойная ночь (БН), дорога (Д), отпуск (0), цистит (Ц),  прием лекарств(Л)</t>
  </si>
  <si>
    <t xml:space="preserve">Месяц: </t>
  </si>
  <si>
    <t xml:space="preserve">Карта №  </t>
  </si>
  <si>
    <t xml:space="preserve">Карта № </t>
  </si>
  <si>
    <t>День пика шейки матки + 3 дня</t>
  </si>
  <si>
    <t>Год:                          Дата:</t>
  </si>
  <si>
    <t>скользко, маслянисто</t>
  </si>
  <si>
    <t>День первого изменения шейки матки</t>
  </si>
  <si>
    <t xml:space="preserve">Возраст: </t>
  </si>
  <si>
    <t>липкая/рвущаяся</t>
  </si>
  <si>
    <t>комковатая/вязкая</t>
  </si>
  <si>
    <t>Цвет: полупрозрачная</t>
  </si>
  <si>
    <r>
      <t>Тип:</t>
    </r>
    <r>
      <rPr>
        <b/>
        <sz val="6"/>
        <rFont val="Times New Roman"/>
        <family val="1"/>
        <charset val="204"/>
      </rPr>
      <t xml:space="preserve"> </t>
    </r>
    <r>
      <rPr>
        <b/>
        <sz val="8"/>
        <rFont val="Times New Roman"/>
        <family val="1"/>
        <charset val="204"/>
      </rPr>
      <t>растяжимая</t>
    </r>
  </si>
  <si>
    <t>Кол-во выделений (1-5)</t>
  </si>
  <si>
    <t>Менструация</t>
  </si>
  <si>
    <t>температура</t>
  </si>
  <si>
    <t>нарушения</t>
  </si>
  <si>
    <t>плодный период</t>
  </si>
  <si>
    <t>Время</t>
  </si>
  <si>
    <t>позже/раньше</t>
  </si>
  <si>
    <t>дата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</si>
  <si>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</si>
  <si>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</si>
  <si>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</si>
  <si>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</si>
  <si>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</si>
  <si>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</si>
  <si>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</si>
  <si>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</si>
  <si>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</si>
  <si>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</si>
  <si>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</si>
  <si>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</si>
  <si>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</si>
  <si>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орально</t>
  </si>
  <si>
    <t>вагинально</t>
  </si>
  <si>
    <t>ректально</t>
  </si>
  <si>
    <t>Шейка матки</t>
  </si>
  <si>
    <t>Твердая/мягкая</t>
  </si>
  <si>
    <t>•</t>
  </si>
  <si>
    <t>Т</t>
  </si>
  <si>
    <t>х</t>
  </si>
  <si>
    <t>Y</t>
  </si>
  <si>
    <t>о</t>
  </si>
  <si>
    <t>М</t>
  </si>
  <si>
    <t>О</t>
  </si>
  <si>
    <t>Дата</t>
  </si>
  <si>
    <t>БТТ</t>
  </si>
  <si>
    <t>Нарушения</t>
  </si>
  <si>
    <t>Примечание</t>
  </si>
  <si>
    <t>Новый термометр</t>
  </si>
  <si>
    <t>НТ</t>
  </si>
  <si>
    <t>Позже</t>
  </si>
  <si>
    <t>П</t>
  </si>
  <si>
    <t>Раньше</t>
  </si>
  <si>
    <t>Р</t>
  </si>
  <si>
    <t>Плохое самочувствие</t>
  </si>
  <si>
    <t>ПС</t>
  </si>
  <si>
    <t>Беспокойная ночь</t>
  </si>
  <si>
    <t>БН</t>
  </si>
  <si>
    <t>Дорога</t>
  </si>
  <si>
    <t>Д</t>
  </si>
  <si>
    <t>Отпуск</t>
  </si>
  <si>
    <t>Цистит</t>
  </si>
  <si>
    <t>Ц</t>
  </si>
  <si>
    <t>Молочница</t>
  </si>
  <si>
    <t>Лекарства</t>
  </si>
  <si>
    <t>Л</t>
  </si>
  <si>
    <t>Стресс</t>
  </si>
  <si>
    <t>С</t>
  </si>
  <si>
    <t>да</t>
  </si>
  <si>
    <t>нет</t>
  </si>
  <si>
    <t xml:space="preserve"> / </t>
  </si>
  <si>
    <t>001</t>
  </si>
  <si>
    <t>003</t>
  </si>
  <si>
    <t>005</t>
  </si>
  <si>
    <t>007</t>
  </si>
  <si>
    <t>009</t>
  </si>
  <si>
    <t>002</t>
  </si>
  <si>
    <t>004</t>
  </si>
  <si>
    <t>006</t>
  </si>
  <si>
    <t>008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</si>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</sst>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44">
    <font>
      <sz val="10"/>
      <name val="Arial Cyr"/>
      <family val="2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6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Times New Roman"/>
      <family val="1"/>
      <charset val="204"/>
    </font>
    <font>
      <sz val="4"/>
      <name val="Times New Roman"/>
      <family val="1"/>
      <charset val="204"/>
    </font>
    <font>
      <sz val="5"/>
      <name val="Times New Roman"/>
      <family val="1"/>
      <charset val="204"/>
    </font>
    <font>
      <sz val="8"/>
      <name val="Arial Cyr"/>
      <family val="2"/>
      <charset val="204"/>
    </font>
    <font>
      <sz val="7"/>
      <name val="System"/>
      <family val="2"/>
      <charset val="204"/>
    </font>
    <font>
      <sz val="10"/>
      <color indexed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0"/>
      <name val="Verdana"/>
      <family val="2"/>
      <charset val="204"/>
    </font>
    <font>
      <b/>
      <sz val="10"/>
      <name val="Arial Black"/>
      <family val="2"/>
      <charset val="204"/>
    </font>
    <font>
      <sz val="14"/>
      <name val="Calibri"/>
      <family val="2"/>
      <charset val="204"/>
    </font>
    <font>
      <b/>
      <sz val="9"/>
      <name val="Calibri"/>
      <family val="2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Arial Cyr"/>
      <charset val="204"/>
    </font>
    <font>
      <sz val="11"/>
      <color indexed="10"/>
      <name val="Times New Roman"/>
      <family val="1"/>
      <charset val="204"/>
    </font>
    <font>
      <b/>
      <sz val="9"/>
      <name val="Verdana"/>
      <family val="2"/>
      <charset val="204"/>
    </font>
    <font>
      <b/>
      <sz val="6.5"/>
      <name val="Times New Roman"/>
      <family val="1"/>
      <charset val="204"/>
    </font>
    <font>
      <sz val="11"/>
      <name val="Calibri"/>
      <family val="2"/>
      <charset val="204"/>
    </font>
    <font>
      <b/>
      <sz val="10"/>
      <name val="Calibri"/>
      <family val="2"/>
      <charset val="204"/>
    </font>
    <font>
      <b/>
      <sz val="7"/>
      <name val="Calibri"/>
      <family val="2"/>
      <charset val="204"/>
    </font>
    <font>
      <b/>
      <sz val="12"/>
      <name val="Times New Roman"/>
      <family val="1"/>
      <charset val="204"/>
    </font>
    <font>
      <sz val="11"/>
      <name val="Arial Cyr"/>
      <family val="2"/>
      <charset val="204"/>
    </font>
    <font>
      <b/>
      <sz val="7.5"/>
      <name val="Times New Roman"/>
      <family val="1"/>
      <charset val="204"/>
    </font>
    <font>
      <sz val="7"/>
      <color rgb="FFFF0000"/>
      <name val="Times New Roman"/>
      <family val="1"/>
      <charset val="204"/>
    </font>
    <font>
      <b/>
      <sz val="18"/>
      <color rgb="FFFF0000"/>
      <name val="Calibri"/>
      <family val="2"/>
      <charset val="204"/>
    </font>
    <font>
      <b/>
      <sz val="14"/>
      <color rgb="FFFF0000"/>
      <name val="Calibri"/>
      <family val="2"/>
      <charset val="204"/>
      <scheme val="minor"/>
    </font>
    <font>
      <sz val="12"/>
      <color rgb="FFFF0000"/>
      <name val="Webdings"/>
      <family val="1"/>
      <charset val="2"/>
    </font>
    <font>
      <sz val="9"/>
      <color rgb="FFFF0000"/>
      <name val="CommercialPi BT"/>
      <family val="2"/>
      <charset val="204"/>
    </font>
    <font>
      <b/>
      <sz val="16"/>
      <color rgb="FFFF0000"/>
      <name val="Calibri"/>
      <family val="2"/>
      <charset val="204"/>
    </font>
    <font>
      <sz val="7"/>
      <color rgb="FFFF0000"/>
      <name val="Webdings"/>
      <family val="1"/>
      <charset val="2"/>
    </font>
    <font>
      <b/>
      <sz val="36"/>
      <color rgb="FFFF0000"/>
      <name val="Arial Black"/>
      <family val="2"/>
      <charset val="204"/>
    </font>
    <font>
      <b/>
      <sz val="14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11"/>
      <color indexed="10"/>
      <name val="Webdings"/>
      <family val="1"/>
      <charset val="2"/>
    </font>
    <font>
      <b/>
      <sz val="11"/>
      <name val="Webdings"/>
      <family val="1"/>
      <charset val="2"/>
    </font>
    <font>
      <sz val="11"/>
      <name val="Webdings"/>
      <family val="1"/>
      <charset val="2"/>
    </font>
  </fonts>
  <fills count="9">
    <fill>
      <patternFill patternType="none"/>
    </fill>
    <fill>
      <patternFill patternType="gray125"/>
    </fill>
    <fill>
      <patternFill patternType="solid">
        <fgColor indexed="11"/>
        <bgColor indexed="49"/>
      </patternFill>
    </fill>
    <fill>
      <patternFill patternType="solid">
        <fgColor indexed="10"/>
        <bgColor indexed="25"/>
      </patternFill>
    </fill>
    <fill>
      <patternFill patternType="solid">
        <fgColor indexed="14"/>
        <bgColor indexed="10"/>
      </patternFill>
    </fill>
    <fill>
      <patternFill patternType="solid">
        <fgColor indexed="52"/>
        <bgColor indexed="52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8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0" borderId="3" xfId="0" applyFont="1" applyBorder="1" applyAlignment="1">
      <alignment horizontal="center"/>
    </xf>
    <xf numFmtId="0" fontId="6" fillId="0" borderId="0" xfId="0" applyFont="1"/>
    <xf numFmtId="164" fontId="1" fillId="0" borderId="0" xfId="0" applyNumberFormat="1" applyFont="1"/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indent="15"/>
    </xf>
    <xf numFmtId="0" fontId="9" fillId="0" borderId="0" xfId="0" applyFont="1" applyAlignment="1">
      <alignment horizontal="left" indent="15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2" fillId="0" borderId="0" xfId="0" applyFont="1"/>
    <xf numFmtId="0" fontId="3" fillId="0" borderId="12" xfId="0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0" fontId="2" fillId="0" borderId="0" xfId="0" applyFont="1"/>
    <xf numFmtId="0" fontId="15" fillId="0" borderId="0" xfId="0" applyFont="1" applyAlignment="1">
      <alignment horizont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29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6" borderId="29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8" fillId="0" borderId="0" xfId="0" applyFont="1"/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6" fillId="0" borderId="49" xfId="0" applyFont="1" applyBorder="1"/>
    <xf numFmtId="0" fontId="6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49" fontId="4" fillId="0" borderId="57" xfId="0" applyNumberFormat="1" applyFont="1" applyBorder="1" applyAlignment="1">
      <alignment horizontal="center" vertical="center"/>
    </xf>
    <xf numFmtId="49" fontId="0" fillId="0" borderId="58" xfId="0" applyNumberFormat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49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6" fillId="0" borderId="63" xfId="0" applyFont="1" applyBorder="1"/>
    <xf numFmtId="0" fontId="23" fillId="0" borderId="0" xfId="0" applyFont="1"/>
    <xf numFmtId="0" fontId="4" fillId="0" borderId="64" xfId="0" applyFont="1" applyBorder="1" applyAlignment="1">
      <alignment horizontal="left" vertical="center"/>
    </xf>
    <xf numFmtId="0" fontId="24" fillId="0" borderId="64" xfId="0" applyFont="1" applyBorder="1" applyAlignment="1">
      <alignment horizontal="left" vertical="center"/>
    </xf>
    <xf numFmtId="0" fontId="4" fillId="0" borderId="65" xfId="0" applyFont="1" applyBorder="1" applyAlignment="1">
      <alignment horizontal="left" vertical="center"/>
    </xf>
    <xf numFmtId="0" fontId="24" fillId="0" borderId="65" xfId="0" applyFont="1" applyBorder="1" applyAlignment="1">
      <alignment vertical="center"/>
    </xf>
    <xf numFmtId="0" fontId="25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26" fillId="0" borderId="0" xfId="0" applyFont="1"/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0" fontId="2" fillId="0" borderId="67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2" fontId="14" fillId="0" borderId="18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2" fontId="14" fillId="0" borderId="20" xfId="0" applyNumberFormat="1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30" fillId="0" borderId="5" xfId="0" applyFont="1" applyBorder="1" applyAlignment="1">
      <alignment horizontal="left" vertical="center"/>
    </xf>
    <xf numFmtId="0" fontId="0" fillId="0" borderId="73" xfId="0" applyBorder="1"/>
    <xf numFmtId="0" fontId="31" fillId="0" borderId="0" xfId="0" applyFont="1"/>
    <xf numFmtId="165" fontId="31" fillId="0" borderId="0" xfId="0" applyNumberFormat="1" applyFont="1"/>
    <xf numFmtId="2" fontId="31" fillId="0" borderId="0" xfId="0" applyNumberFormat="1" applyFont="1"/>
    <xf numFmtId="0" fontId="31" fillId="0" borderId="0" xfId="0" applyFont="1" applyAlignment="1">
      <alignment vertical="center"/>
    </xf>
    <xf numFmtId="164" fontId="31" fillId="0" borderId="0" xfId="0" applyNumberFormat="1" applyFont="1" applyAlignment="1">
      <alignment vertical="center"/>
    </xf>
    <xf numFmtId="0" fontId="32" fillId="0" borderId="0" xfId="0" applyFont="1"/>
    <xf numFmtId="0" fontId="33" fillId="0" borderId="0" xfId="0" applyFont="1"/>
    <xf numFmtId="164" fontId="34" fillId="0" borderId="0" xfId="0" applyNumberFormat="1" applyFont="1" applyAlignment="1">
      <alignment vertical="center"/>
    </xf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164" fontId="31" fillId="0" borderId="0" xfId="0" applyNumberFormat="1" applyFont="1"/>
    <xf numFmtId="0" fontId="13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0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39" fillId="0" borderId="0" xfId="0" applyFont="1" applyAlignment="1">
      <alignment vertical="top" wrapText="1"/>
    </xf>
    <xf numFmtId="0" fontId="2" fillId="0" borderId="42" xfId="0" applyFont="1" applyBorder="1" applyAlignment="1">
      <alignment horizontal="center" vertical="center"/>
    </xf>
    <xf numFmtId="0" fontId="6" fillId="0" borderId="31" xfId="0" applyFont="1" applyBorder="1" applyAlignment="1">
      <alignment horizontal="left"/>
    </xf>
    <xf numFmtId="0" fontId="4" fillId="0" borderId="74" xfId="0" applyFont="1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40" fillId="0" borderId="78" xfId="0" applyFont="1" applyBorder="1" applyAlignment="1">
      <alignment horizontal="center"/>
    </xf>
    <xf numFmtId="0" fontId="40" fillId="0" borderId="41" xfId="0" applyFont="1" applyBorder="1" applyAlignment="1">
      <alignment horizontal="center"/>
    </xf>
    <xf numFmtId="0" fontId="40" fillId="0" borderId="8" xfId="0" applyFont="1" applyBorder="1" applyAlignment="1">
      <alignment horizontal="center"/>
    </xf>
    <xf numFmtId="0" fontId="40" fillId="0" borderId="47" xfId="0" applyFont="1" applyBorder="1" applyAlignment="1">
      <alignment horizontal="center"/>
    </xf>
    <xf numFmtId="0" fontId="40" fillId="0" borderId="40" xfId="0" applyFont="1" applyBorder="1" applyAlignment="1">
      <alignment horizontal="center"/>
    </xf>
    <xf numFmtId="0" fontId="40" fillId="0" borderId="79" xfId="0" applyFont="1" applyBorder="1"/>
    <xf numFmtId="0" fontId="40" fillId="0" borderId="42" xfId="0" applyFont="1" applyBorder="1" applyAlignment="1">
      <alignment horizontal="center"/>
    </xf>
    <xf numFmtId="0" fontId="40" fillId="0" borderId="86" xfId="0" applyFont="1" applyBorder="1" applyAlignment="1">
      <alignment horizontal="center"/>
    </xf>
    <xf numFmtId="0" fontId="40" fillId="0" borderId="84" xfId="0" applyFont="1" applyBorder="1" applyAlignment="1">
      <alignment horizontal="center"/>
    </xf>
    <xf numFmtId="0" fontId="40" fillId="0" borderId="83" xfId="0" applyFont="1" applyBorder="1" applyAlignment="1">
      <alignment horizontal="center"/>
    </xf>
    <xf numFmtId="0" fontId="40" fillId="0" borderId="61" xfId="0" applyFont="1" applyBorder="1" applyAlignment="1">
      <alignment horizontal="center"/>
    </xf>
    <xf numFmtId="0" fontId="40" fillId="0" borderId="54" xfId="0" applyFont="1" applyBorder="1" applyAlignment="1">
      <alignment horizontal="center"/>
    </xf>
    <xf numFmtId="0" fontId="40" fillId="0" borderId="55" xfId="0" applyFont="1" applyBorder="1" applyAlignment="1">
      <alignment horizontal="center"/>
    </xf>
    <xf numFmtId="0" fontId="40" fillId="0" borderId="85" xfId="0" applyFont="1" applyBorder="1" applyAlignment="1">
      <alignment horizontal="center"/>
    </xf>
    <xf numFmtId="0" fontId="40" fillId="0" borderId="87" xfId="0" applyFont="1" applyBorder="1"/>
    <xf numFmtId="0" fontId="41" fillId="0" borderId="21" xfId="0" applyFont="1" applyBorder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23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49" fontId="1" fillId="0" borderId="0" xfId="0" applyNumberFormat="1" applyFont="1"/>
    <xf numFmtId="0" fontId="6" fillId="0" borderId="60" xfId="0" applyFont="1" applyBorder="1" applyAlignment="1">
      <alignment horizontal="center"/>
    </xf>
    <xf numFmtId="0" fontId="6" fillId="8" borderId="6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4" fontId="5" fillId="0" borderId="70" xfId="0" applyNumberFormat="1" applyFont="1" applyBorder="1" applyAlignment="1">
      <alignment horizontal="left" vertical="center"/>
    </xf>
    <xf numFmtId="49" fontId="6" fillId="0" borderId="71" xfId="0" applyNumberFormat="1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6" fillId="0" borderId="88" xfId="0" applyFont="1" applyBorder="1" applyAlignment="1">
      <alignment horizontal="center"/>
    </xf>
    <xf numFmtId="165" fontId="6" fillId="0" borderId="72" xfId="0" applyNumberFormat="1" applyFont="1" applyBorder="1" applyAlignment="1">
      <alignment horizontal="center" vertical="center"/>
    </xf>
    <xf numFmtId="0" fontId="20" fillId="0" borderId="0" xfId="0" applyFont="1"/>
    <xf numFmtId="0" fontId="29" fillId="0" borderId="0" xfId="0" applyFont="1"/>
    <xf numFmtId="0" fontId="6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FF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1001749781277345E-4"/>
          <c:w val="1"/>
          <c:h val="0.99938998250218725"/>
        </c:manualLayout>
      </c:layout>
      <c:lineChart>
        <c:grouping val="standard"/>
        <c:varyColors val="0"/>
        <c:ser>
          <c:idx val="1"/>
          <c:order val="0"/>
          <c:tx>
            <c:strRef>
              <c:f>'Карта 1'!$BK$2:$BK$41</c:f>
              <c:strCache>
                <c:ptCount val="40"/>
                <c:pt idx="0">
                  <c:v>#Н/Д</c:v>
                </c:pt>
                <c:pt idx="1">
                  <c:v>#Н/Д</c:v>
                </c:pt>
                <c:pt idx="2">
                  <c:v>#Н/Д</c:v>
                </c:pt>
                <c:pt idx="3">
                  <c:v>#Н/Д</c:v>
                </c:pt>
                <c:pt idx="4">
                  <c:v>#Н/Д</c:v>
                </c:pt>
                <c:pt idx="5">
                  <c:v>#Н/Д</c:v>
                </c:pt>
                <c:pt idx="6">
                  <c:v>#Н/Д</c:v>
                </c:pt>
                <c:pt idx="7">
                  <c:v>#Н/Д</c:v>
                </c:pt>
                <c:pt idx="8">
                  <c:v>#Н/Д</c:v>
                </c:pt>
                <c:pt idx="9">
                  <c:v>#Н/Д</c:v>
                </c:pt>
                <c:pt idx="10">
                  <c:v>#Н/Д</c:v>
                </c:pt>
                <c:pt idx="11">
                  <c:v>#Н/Д</c:v>
                </c:pt>
                <c:pt idx="12">
                  <c:v>#Н/Д</c:v>
                </c:pt>
                <c:pt idx="13">
                  <c:v>#Н/Д</c:v>
                </c:pt>
                <c:pt idx="14">
                  <c:v>#Н/Д</c:v>
                </c:pt>
                <c:pt idx="15">
                  <c:v>#Н/Д</c:v>
                </c:pt>
                <c:pt idx="16">
                  <c:v>#Н/Д</c:v>
                </c:pt>
                <c:pt idx="17">
                  <c:v>#Н/Д</c:v>
                </c:pt>
                <c:pt idx="18">
                  <c:v>#Н/Д</c:v>
                </c:pt>
                <c:pt idx="19">
                  <c:v>#Н/Д</c:v>
                </c:pt>
                <c:pt idx="20">
                  <c:v>#Н/Д</c:v>
                </c:pt>
                <c:pt idx="21">
                  <c:v>#Н/Д</c:v>
                </c:pt>
                <c:pt idx="22">
                  <c:v>#Н/Д</c:v>
                </c:pt>
                <c:pt idx="23">
                  <c:v>#Н/Д</c:v>
                </c:pt>
                <c:pt idx="24">
                  <c:v>#Н/Д</c:v>
                </c:pt>
                <c:pt idx="25">
                  <c:v>#Н/Д</c:v>
                </c:pt>
                <c:pt idx="26">
                  <c:v>#Н/Д</c:v>
                </c:pt>
                <c:pt idx="27">
                  <c:v>#Н/Д</c:v>
                </c:pt>
                <c:pt idx="28">
                  <c:v>#Н/Д</c:v>
                </c:pt>
                <c:pt idx="29">
                  <c:v>#Н/Д</c:v>
                </c:pt>
                <c:pt idx="30">
                  <c:v>#Н/Д</c:v>
                </c:pt>
                <c:pt idx="31">
                  <c:v>#Н/Д</c:v>
                </c:pt>
                <c:pt idx="32">
                  <c:v>#Н/Д</c:v>
                </c:pt>
                <c:pt idx="33">
                  <c:v>#Н/Д</c:v>
                </c:pt>
                <c:pt idx="34">
                  <c:v>#Н/Д</c:v>
                </c:pt>
                <c:pt idx="35">
                  <c:v>#Н/Д</c:v>
                </c:pt>
                <c:pt idx="36">
                  <c:v>#Н/Д</c:v>
                </c:pt>
                <c:pt idx="37">
                  <c:v>#Н/Д</c:v>
                </c:pt>
                <c:pt idx="38">
                  <c:v>#Н/Д</c:v>
                </c:pt>
                <c:pt idx="39">
                  <c:v>#Н/Д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circle"/>
            <c:size val="15"/>
            <c:spPr>
              <a:noFill/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marker>
          <c:val>
            <c:numRef>
              <c:f>'Карта 1'!$BK$2:$BK$41</c:f>
              <c:numCache>
                <c:formatCode>General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B8-4315-90C0-47AEF4028910}"/>
            </c:ext>
          </c:extLst>
        </c:ser>
        <c:ser>
          <c:idx val="0"/>
          <c:order val="1"/>
          <c:tx>
            <c:v>БТТ</c:v>
          </c:tx>
          <c:spPr>
            <a:ln w="28575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marker>
          <c:val>
            <c:numRef>
              <c:f>'Карта 1'!$AS$2:$AS$41</c:f>
              <c:numCache>
                <c:formatCode>0.00</c:formatCode>
                <c:ptCount val="4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B8-4315-90C0-47AEF4028910}"/>
            </c:ext>
          </c:extLst>
        </c:ser>
        <c:ser>
          <c:idx val="2"/>
          <c:order val="2"/>
          <c:tx>
            <c:v>Корректірованная</c:v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val>
            <c:numLit>
              <c:formatCode>General</c:formatCode>
              <c:ptCount val="4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B5B8-4315-90C0-47AEF4028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586863"/>
        <c:axId val="1"/>
      </c:lineChart>
      <c:catAx>
        <c:axId val="5425868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7.35"/>
          <c:min val="35.9"/>
        </c:scaling>
        <c:delete val="1"/>
        <c:axPos val="l"/>
        <c:numFmt formatCode="General" sourceLinked="1"/>
        <c:majorTickMark val="out"/>
        <c:minorTickMark val="none"/>
        <c:tickLblPos val="nextTo"/>
        <c:crossAx val="54258686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68580</xdr:colOff>
      <xdr:row>63</xdr:row>
      <xdr:rowOff>83820</xdr:rowOff>
    </xdr:from>
    <xdr:to>
      <xdr:col>11</xdr:col>
      <xdr:colOff>129540</xdr:colOff>
      <xdr:row>64</xdr:row>
      <xdr:rowOff>106680</xdr:rowOff>
    </xdr:to>
    <xdr:sp macro="" textlink="">
      <xdr:nvSpPr>
        <xdr:cNvPr id="3286" name="Text Box 1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SpPr txBox="1">
          <a:spLocks noChangeArrowheads="1"/>
        </xdr:cNvSpPr>
      </xdr:nvSpPr>
      <xdr:spPr bwMode="auto">
        <a:xfrm>
          <a:off x="2796540" y="9532620"/>
          <a:ext cx="6096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29</xdr:col>
      <xdr:colOff>60960</xdr:colOff>
      <xdr:row>123</xdr:row>
      <xdr:rowOff>45720</xdr:rowOff>
    </xdr:from>
    <xdr:to>
      <xdr:col>29</xdr:col>
      <xdr:colOff>152400</xdr:colOff>
      <xdr:row>123</xdr:row>
      <xdr:rowOff>45720</xdr:rowOff>
    </xdr:to>
    <xdr:sp macro="" textlink="">
      <xdr:nvSpPr>
        <xdr:cNvPr id="3287" name="Line 491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SpPr>
          <a:spLocks noChangeShapeType="1"/>
        </xdr:cNvSpPr>
      </xdr:nvSpPr>
      <xdr:spPr bwMode="auto">
        <a:xfrm>
          <a:off x="5669280" y="17746980"/>
          <a:ext cx="9144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60960</xdr:colOff>
      <xdr:row>123</xdr:row>
      <xdr:rowOff>45720</xdr:rowOff>
    </xdr:from>
    <xdr:to>
      <xdr:col>29</xdr:col>
      <xdr:colOff>152400</xdr:colOff>
      <xdr:row>123</xdr:row>
      <xdr:rowOff>45720</xdr:rowOff>
    </xdr:to>
    <xdr:sp macro="" textlink="">
      <xdr:nvSpPr>
        <xdr:cNvPr id="3288" name="Line 492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SpPr>
          <a:spLocks noChangeShapeType="1"/>
        </xdr:cNvSpPr>
      </xdr:nvSpPr>
      <xdr:spPr bwMode="auto">
        <a:xfrm>
          <a:off x="5669280" y="17746980"/>
          <a:ext cx="9144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60960</xdr:colOff>
      <xdr:row>123</xdr:row>
      <xdr:rowOff>45720</xdr:rowOff>
    </xdr:from>
    <xdr:to>
      <xdr:col>30</xdr:col>
      <xdr:colOff>152400</xdr:colOff>
      <xdr:row>123</xdr:row>
      <xdr:rowOff>45720</xdr:rowOff>
    </xdr:to>
    <xdr:sp macro="" textlink="">
      <xdr:nvSpPr>
        <xdr:cNvPr id="3289" name="Line 493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SpPr>
          <a:spLocks noChangeShapeType="1"/>
        </xdr:cNvSpPr>
      </xdr:nvSpPr>
      <xdr:spPr bwMode="auto">
        <a:xfrm>
          <a:off x="5829300" y="17746980"/>
          <a:ext cx="9144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91440</xdr:colOff>
      <xdr:row>79</xdr:row>
      <xdr:rowOff>83820</xdr:rowOff>
    </xdr:from>
    <xdr:to>
      <xdr:col>35</xdr:col>
      <xdr:colOff>152400</xdr:colOff>
      <xdr:row>79</xdr:row>
      <xdr:rowOff>83820</xdr:rowOff>
    </xdr:to>
    <xdr:cxnSp macro="">
      <xdr:nvCxnSpPr>
        <xdr:cNvPr id="3290" name="Прямая соединительная линия 36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CxnSpPr>
          <a:cxnSpLocks noChangeShapeType="1"/>
        </xdr:cNvCxnSpPr>
      </xdr:nvCxnSpPr>
      <xdr:spPr bwMode="auto">
        <a:xfrm>
          <a:off x="6179820" y="12009120"/>
          <a:ext cx="541020" cy="0"/>
        </a:xfrm>
        <a:prstGeom prst="lin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990600</xdr:colOff>
      <xdr:row>79</xdr:row>
      <xdr:rowOff>114300</xdr:rowOff>
    </xdr:from>
    <xdr:to>
      <xdr:col>1</xdr:col>
      <xdr:colOff>99060</xdr:colOff>
      <xdr:row>80</xdr:row>
      <xdr:rowOff>83820</xdr:rowOff>
    </xdr:to>
    <xdr:sp macro="" textlink="">
      <xdr:nvSpPr>
        <xdr:cNvPr id="3291" name="Полилиния 15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SpPr>
          <a:spLocks/>
        </xdr:cNvSpPr>
      </xdr:nvSpPr>
      <xdr:spPr bwMode="auto">
        <a:xfrm>
          <a:off x="990600" y="12039600"/>
          <a:ext cx="236220" cy="114300"/>
        </a:xfrm>
        <a:custGeom>
          <a:avLst/>
          <a:gdLst>
            <a:gd name="T0" fmla="*/ 64746 w 139212"/>
            <a:gd name="T1" fmla="*/ 1 h 162018"/>
            <a:gd name="T2" fmla="*/ 129506 w 139212"/>
            <a:gd name="T3" fmla="*/ 1 h 162018"/>
            <a:gd name="T4" fmla="*/ 1230201 w 139212"/>
            <a:gd name="T5" fmla="*/ 0 h 162018"/>
            <a:gd name="T6" fmla="*/ 0 60000 65536"/>
            <a:gd name="T7" fmla="*/ 0 60000 65536"/>
            <a:gd name="T8" fmla="*/ 0 60000 65536"/>
            <a:gd name="T9" fmla="*/ 0 w 139212"/>
            <a:gd name="T10" fmla="*/ 0 h 162018"/>
            <a:gd name="T11" fmla="*/ 139212 w 139212"/>
            <a:gd name="T12" fmla="*/ 162018 h 16201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39212" h="162018">
              <a:moveTo>
                <a:pt x="7327" y="51288"/>
              </a:moveTo>
              <a:cubicBezTo>
                <a:pt x="0" y="110514"/>
                <a:pt x="-7327" y="169740"/>
                <a:pt x="14654" y="161192"/>
              </a:cubicBezTo>
              <a:cubicBezTo>
                <a:pt x="36635" y="152644"/>
                <a:pt x="87923" y="76322"/>
                <a:pt x="139212" y="0"/>
              </a:cubicBezTo>
            </a:path>
          </a:pathLst>
        </a:cu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4352</xdr:colOff>
      <xdr:row>80</xdr:row>
      <xdr:rowOff>16956</xdr:rowOff>
    </xdr:from>
    <xdr:to>
      <xdr:col>5</xdr:col>
      <xdr:colOff>132483</xdr:colOff>
      <xdr:row>80</xdr:row>
      <xdr:rowOff>130024</xdr:rowOff>
    </xdr:to>
    <xdr:sp macro="" textlink="">
      <xdr:nvSpPr>
        <xdr:cNvPr id="36" name="Сердце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 bwMode="auto">
        <a:xfrm>
          <a:off x="1547402" y="11361231"/>
          <a:ext cx="120594" cy="113068"/>
        </a:xfrm>
        <a:prstGeom prst="heart">
          <a:avLst/>
        </a:prstGeom>
        <a:solidFill>
          <a:srgbClr val="FF66CC"/>
        </a:solidFill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endParaRPr lang="ru-RU"/>
        </a:p>
      </xdr:txBody>
    </xdr:sp>
    <xdr:clientData/>
  </xdr:twoCellAnchor>
  <xdr:twoCellAnchor>
    <xdr:from>
      <xdr:col>0</xdr:col>
      <xdr:colOff>320040</xdr:colOff>
      <xdr:row>81</xdr:row>
      <xdr:rowOff>60960</xdr:rowOff>
    </xdr:from>
    <xdr:to>
      <xdr:col>0</xdr:col>
      <xdr:colOff>647700</xdr:colOff>
      <xdr:row>82</xdr:row>
      <xdr:rowOff>91440</xdr:rowOff>
    </xdr:to>
    <xdr:sp macro="" textlink="">
      <xdr:nvSpPr>
        <xdr:cNvPr id="3293" name="Овал 93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SpPr>
          <a:spLocks noChangeArrowheads="1"/>
        </xdr:cNvSpPr>
      </xdr:nvSpPr>
      <xdr:spPr bwMode="auto">
        <a:xfrm>
          <a:off x="320040" y="12283440"/>
          <a:ext cx="327660" cy="175260"/>
        </a:xfrm>
        <a:prstGeom prst="ellips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99060</xdr:colOff>
      <xdr:row>79</xdr:row>
      <xdr:rowOff>114300</xdr:rowOff>
    </xdr:from>
    <xdr:to>
      <xdr:col>4</xdr:col>
      <xdr:colOff>91440</xdr:colOff>
      <xdr:row>80</xdr:row>
      <xdr:rowOff>83820</xdr:rowOff>
    </xdr:to>
    <xdr:sp macro="" textlink="">
      <xdr:nvSpPr>
        <xdr:cNvPr id="3294" name="Полилиния 15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SpPr>
          <a:spLocks/>
        </xdr:cNvSpPr>
      </xdr:nvSpPr>
      <xdr:spPr bwMode="auto">
        <a:xfrm>
          <a:off x="1546860" y="12039600"/>
          <a:ext cx="152400" cy="114300"/>
        </a:xfrm>
        <a:custGeom>
          <a:avLst/>
          <a:gdLst>
            <a:gd name="T0" fmla="*/ 44660 w 139212"/>
            <a:gd name="T1" fmla="*/ 1 h 162018"/>
            <a:gd name="T2" fmla="*/ 89314 w 139212"/>
            <a:gd name="T3" fmla="*/ 1 h 162018"/>
            <a:gd name="T4" fmla="*/ 848496 w 139212"/>
            <a:gd name="T5" fmla="*/ 0 h 162018"/>
            <a:gd name="T6" fmla="*/ 0 60000 65536"/>
            <a:gd name="T7" fmla="*/ 0 60000 65536"/>
            <a:gd name="T8" fmla="*/ 0 60000 65536"/>
            <a:gd name="T9" fmla="*/ 0 w 139212"/>
            <a:gd name="T10" fmla="*/ 0 h 162018"/>
            <a:gd name="T11" fmla="*/ 139212 w 139212"/>
            <a:gd name="T12" fmla="*/ 162018 h 16201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39212" h="162018">
              <a:moveTo>
                <a:pt x="7327" y="51288"/>
              </a:moveTo>
              <a:cubicBezTo>
                <a:pt x="0" y="110514"/>
                <a:pt x="-7327" y="169740"/>
                <a:pt x="14654" y="161192"/>
              </a:cubicBezTo>
              <a:cubicBezTo>
                <a:pt x="36635" y="152644"/>
                <a:pt x="87923" y="76322"/>
                <a:pt x="139212" y="0"/>
              </a:cubicBezTo>
            </a:path>
          </a:pathLst>
        </a:cu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38100</xdr:colOff>
      <xdr:row>79</xdr:row>
      <xdr:rowOff>106680</xdr:rowOff>
    </xdr:from>
    <xdr:to>
      <xdr:col>3</xdr:col>
      <xdr:colOff>30480</xdr:colOff>
      <xdr:row>80</xdr:row>
      <xdr:rowOff>76200</xdr:rowOff>
    </xdr:to>
    <xdr:sp macro="" textlink="">
      <xdr:nvSpPr>
        <xdr:cNvPr id="3295" name="Полилиния 15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SpPr>
          <a:spLocks/>
        </xdr:cNvSpPr>
      </xdr:nvSpPr>
      <xdr:spPr bwMode="auto">
        <a:xfrm>
          <a:off x="1325880" y="12031980"/>
          <a:ext cx="152400" cy="114300"/>
        </a:xfrm>
        <a:custGeom>
          <a:avLst/>
          <a:gdLst>
            <a:gd name="T0" fmla="*/ 41162 w 139212"/>
            <a:gd name="T1" fmla="*/ 1 h 162018"/>
            <a:gd name="T2" fmla="*/ 82315 w 139212"/>
            <a:gd name="T3" fmla="*/ 1 h 162018"/>
            <a:gd name="T4" fmla="*/ 781967 w 139212"/>
            <a:gd name="T5" fmla="*/ 0 h 162018"/>
            <a:gd name="T6" fmla="*/ 0 60000 65536"/>
            <a:gd name="T7" fmla="*/ 0 60000 65536"/>
            <a:gd name="T8" fmla="*/ 0 60000 65536"/>
            <a:gd name="T9" fmla="*/ 0 w 139212"/>
            <a:gd name="T10" fmla="*/ 0 h 162018"/>
            <a:gd name="T11" fmla="*/ 139212 w 139212"/>
            <a:gd name="T12" fmla="*/ 162018 h 16201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39212" h="162018">
              <a:moveTo>
                <a:pt x="7327" y="51288"/>
              </a:moveTo>
              <a:cubicBezTo>
                <a:pt x="0" y="110514"/>
                <a:pt x="-7327" y="169740"/>
                <a:pt x="14654" y="161192"/>
              </a:cubicBezTo>
              <a:cubicBezTo>
                <a:pt x="36635" y="152644"/>
                <a:pt x="87923" y="76322"/>
                <a:pt x="139212" y="0"/>
              </a:cubicBezTo>
            </a:path>
          </a:pathLst>
        </a:cu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701040</xdr:colOff>
      <xdr:row>79</xdr:row>
      <xdr:rowOff>129540</xdr:rowOff>
    </xdr:from>
    <xdr:to>
      <xdr:col>0</xdr:col>
      <xdr:colOff>944880</xdr:colOff>
      <xdr:row>80</xdr:row>
      <xdr:rowOff>121920</xdr:rowOff>
    </xdr:to>
    <xdr:cxnSp macro="">
      <xdr:nvCxnSpPr>
        <xdr:cNvPr id="3296" name="Прямая соединительная линия 57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CxnSpPr>
          <a:cxnSpLocks noChangeShapeType="1"/>
        </xdr:cNvCxnSpPr>
      </xdr:nvCxnSpPr>
      <xdr:spPr bwMode="auto">
        <a:xfrm flipV="1">
          <a:off x="701040" y="12054840"/>
          <a:ext cx="243840" cy="137160"/>
        </a:xfrm>
        <a:prstGeom prst="lin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102905</xdr:colOff>
      <xdr:row>79</xdr:row>
      <xdr:rowOff>113144</xdr:rowOff>
    </xdr:from>
    <xdr:to>
      <xdr:col>12</xdr:col>
      <xdr:colOff>37922</xdr:colOff>
      <xdr:row>81</xdr:row>
      <xdr:rowOff>45781</xdr:rowOff>
    </xdr:to>
    <xdr:sp macro="" textlink="">
      <xdr:nvSpPr>
        <xdr:cNvPr id="44" name="Дуга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 bwMode="auto">
        <a:xfrm>
          <a:off x="2606619" y="11945371"/>
          <a:ext cx="84696" cy="231994"/>
        </a:xfrm>
        <a:prstGeom prst="arc">
          <a:avLst>
            <a:gd name="adj1" fmla="val 16200000"/>
            <a:gd name="adj2" fmla="val 5213563"/>
          </a:avLst>
        </a:prstGeom>
        <a:noFill/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endParaRPr lang="ru-RU"/>
        </a:p>
      </xdr:txBody>
    </xdr:sp>
    <xdr:clientData/>
  </xdr:twoCellAnchor>
  <xdr:twoCellAnchor>
    <xdr:from>
      <xdr:col>10</xdr:col>
      <xdr:colOff>95249</xdr:colOff>
      <xdr:row>79</xdr:row>
      <xdr:rowOff>105509</xdr:rowOff>
    </xdr:from>
    <xdr:to>
      <xdr:col>11</xdr:col>
      <xdr:colOff>35168</xdr:colOff>
      <xdr:row>81</xdr:row>
      <xdr:rowOff>49533</xdr:rowOff>
    </xdr:to>
    <xdr:sp macro="" textlink="">
      <xdr:nvSpPr>
        <xdr:cNvPr id="45" name="Дуга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 bwMode="auto">
        <a:xfrm flipH="1">
          <a:off x="2557095" y="12045463"/>
          <a:ext cx="98181" cy="242962"/>
        </a:xfrm>
        <a:prstGeom prst="arc">
          <a:avLst>
            <a:gd name="adj1" fmla="val 16200000"/>
            <a:gd name="adj2" fmla="val 5213563"/>
          </a:avLst>
        </a:prstGeom>
        <a:noFill/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endParaRPr lang="ru-RU"/>
        </a:p>
      </xdr:txBody>
    </xdr:sp>
    <xdr:clientData/>
  </xdr:twoCellAnchor>
  <xdr:twoCellAnchor>
    <xdr:from>
      <xdr:col>7</xdr:col>
      <xdr:colOff>83820</xdr:colOff>
      <xdr:row>81</xdr:row>
      <xdr:rowOff>106680</xdr:rowOff>
    </xdr:from>
    <xdr:to>
      <xdr:col>9</xdr:col>
      <xdr:colOff>53340</xdr:colOff>
      <xdr:row>81</xdr:row>
      <xdr:rowOff>106680</xdr:rowOff>
    </xdr:to>
    <xdr:cxnSp macro="">
      <xdr:nvCxnSpPr>
        <xdr:cNvPr id="3299" name="Прямая соединительная линия 45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CxnSpPr>
          <a:cxnSpLocks noChangeShapeType="1"/>
        </xdr:cNvCxnSpPr>
      </xdr:nvCxnSpPr>
      <xdr:spPr bwMode="auto">
        <a:xfrm>
          <a:off x="2171700" y="12329160"/>
          <a:ext cx="289560" cy="0"/>
        </a:xfrm>
        <a:prstGeom prst="lin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320040</xdr:colOff>
      <xdr:row>1</xdr:row>
      <xdr:rowOff>68580</xdr:rowOff>
    </xdr:from>
    <xdr:to>
      <xdr:col>41</xdr:col>
      <xdr:colOff>335280</xdr:colOff>
      <xdr:row>67</xdr:row>
      <xdr:rowOff>68580</xdr:rowOff>
    </xdr:to>
    <xdr:cxnSp macro="">
      <xdr:nvCxnSpPr>
        <xdr:cNvPr id="3300" name="Прямая соединительная линия 24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CxnSpPr>
          <a:cxnSpLocks noChangeShapeType="1"/>
        </xdr:cNvCxnSpPr>
      </xdr:nvCxnSpPr>
      <xdr:spPr bwMode="auto">
        <a:xfrm flipH="1" flipV="1">
          <a:off x="7848600" y="220980"/>
          <a:ext cx="15240" cy="99441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182880</xdr:colOff>
      <xdr:row>0</xdr:row>
      <xdr:rowOff>137160</xdr:rowOff>
    </xdr:from>
    <xdr:to>
      <xdr:col>41</xdr:col>
      <xdr:colOff>182880</xdr:colOff>
      <xdr:row>66</xdr:row>
      <xdr:rowOff>121920</xdr:rowOff>
    </xdr:to>
    <xdr:cxnSp macro="">
      <xdr:nvCxnSpPr>
        <xdr:cNvPr id="3301" name="Прямая соединительная линия 24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CxnSpPr>
          <a:cxnSpLocks noChangeShapeType="1"/>
        </xdr:cNvCxnSpPr>
      </xdr:nvCxnSpPr>
      <xdr:spPr bwMode="auto">
        <a:xfrm flipH="1" flipV="1">
          <a:off x="7711440" y="137160"/>
          <a:ext cx="0" cy="992886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457200</xdr:colOff>
      <xdr:row>4</xdr:row>
      <xdr:rowOff>22860</xdr:rowOff>
    </xdr:from>
    <xdr:to>
      <xdr:col>41</xdr:col>
      <xdr:colOff>601980</xdr:colOff>
      <xdr:row>5</xdr:row>
      <xdr:rowOff>0</xdr:rowOff>
    </xdr:to>
    <xdr:cxnSp macro="">
      <xdr:nvCxnSpPr>
        <xdr:cNvPr id="3302" name="Прямая соединительная линия 57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CxnSpPr>
          <a:cxnSpLocks noChangeShapeType="1"/>
        </xdr:cNvCxnSpPr>
      </xdr:nvCxnSpPr>
      <xdr:spPr bwMode="auto">
        <a:xfrm flipV="1">
          <a:off x="7985760" y="632460"/>
          <a:ext cx="144780" cy="129540"/>
        </a:xfrm>
        <a:prstGeom prst="lin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457200</xdr:colOff>
      <xdr:row>5</xdr:row>
      <xdr:rowOff>152400</xdr:rowOff>
    </xdr:from>
    <xdr:to>
      <xdr:col>41</xdr:col>
      <xdr:colOff>601980</xdr:colOff>
      <xdr:row>6</xdr:row>
      <xdr:rowOff>144780</xdr:rowOff>
    </xdr:to>
    <xdr:cxnSp macro="">
      <xdr:nvCxnSpPr>
        <xdr:cNvPr id="3303" name="Прямая соединительная линия 57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CxnSpPr>
          <a:cxnSpLocks noChangeShapeType="1"/>
        </xdr:cNvCxnSpPr>
      </xdr:nvCxnSpPr>
      <xdr:spPr bwMode="auto">
        <a:xfrm flipV="1">
          <a:off x="7985760" y="914400"/>
          <a:ext cx="144780" cy="144780"/>
        </a:xfrm>
        <a:prstGeom prst="lin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472440</xdr:colOff>
      <xdr:row>5</xdr:row>
      <xdr:rowOff>22860</xdr:rowOff>
    </xdr:from>
    <xdr:to>
      <xdr:col>41</xdr:col>
      <xdr:colOff>617220</xdr:colOff>
      <xdr:row>5</xdr:row>
      <xdr:rowOff>160020</xdr:rowOff>
    </xdr:to>
    <xdr:cxnSp macro="">
      <xdr:nvCxnSpPr>
        <xdr:cNvPr id="3304" name="Прямая соединительная линия 57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CxnSpPr>
          <a:cxnSpLocks noChangeShapeType="1"/>
        </xdr:cNvCxnSpPr>
      </xdr:nvCxnSpPr>
      <xdr:spPr bwMode="auto">
        <a:xfrm flipV="1">
          <a:off x="8001000" y="784860"/>
          <a:ext cx="144780" cy="129540"/>
        </a:xfrm>
        <a:prstGeom prst="lin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7620</xdr:colOff>
      <xdr:row>82</xdr:row>
      <xdr:rowOff>76200</xdr:rowOff>
    </xdr:from>
    <xdr:to>
      <xdr:col>4</xdr:col>
      <xdr:colOff>60960</xdr:colOff>
      <xdr:row>82</xdr:row>
      <xdr:rowOff>76200</xdr:rowOff>
    </xdr:to>
    <xdr:cxnSp macro="">
      <xdr:nvCxnSpPr>
        <xdr:cNvPr id="3305" name="Прямая со стрелкой 2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CxnSpPr>
          <a:cxnSpLocks noChangeShapeType="1"/>
        </xdr:cNvCxnSpPr>
      </xdr:nvCxnSpPr>
      <xdr:spPr bwMode="auto">
        <a:xfrm>
          <a:off x="1295400" y="12443460"/>
          <a:ext cx="373380" cy="0"/>
        </a:xfrm>
        <a:prstGeom prst="straightConnector1">
          <a:avLst/>
        </a:prstGeom>
        <a:noFill/>
        <a:ln w="19050" algn="ctr">
          <a:solidFill>
            <a:srgbClr val="00206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449580</xdr:colOff>
      <xdr:row>11</xdr:row>
      <xdr:rowOff>152400</xdr:rowOff>
    </xdr:from>
    <xdr:to>
      <xdr:col>41</xdr:col>
      <xdr:colOff>601980</xdr:colOff>
      <xdr:row>12</xdr:row>
      <xdr:rowOff>152400</xdr:rowOff>
    </xdr:to>
    <xdr:sp macro="" textlink="">
      <xdr:nvSpPr>
        <xdr:cNvPr id="3306" name="Овал 93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SpPr>
          <a:spLocks noChangeArrowheads="1"/>
        </xdr:cNvSpPr>
      </xdr:nvSpPr>
      <xdr:spPr bwMode="auto">
        <a:xfrm>
          <a:off x="7978140" y="1828800"/>
          <a:ext cx="152400" cy="152400"/>
        </a:xfrm>
        <a:prstGeom prst="ellips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134390</xdr:colOff>
      <xdr:row>37</xdr:row>
      <xdr:rowOff>54032</xdr:rowOff>
    </xdr:from>
    <xdr:to>
      <xdr:col>40</xdr:col>
      <xdr:colOff>90055</xdr:colOff>
      <xdr:row>37</xdr:row>
      <xdr:rowOff>54032</xdr:rowOff>
    </xdr:to>
    <xdr:cxnSp macro="">
      <xdr:nvCxnSpPr>
        <xdr:cNvPr id="3307" name="Прямая соединительная линия 2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CxnSpPr>
          <a:cxnSpLocks noChangeShapeType="1"/>
        </xdr:cNvCxnSpPr>
      </xdr:nvCxnSpPr>
      <xdr:spPr bwMode="auto">
        <a:xfrm>
          <a:off x="4609408" y="5678977"/>
          <a:ext cx="2823556" cy="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56111</xdr:colOff>
      <xdr:row>36</xdr:row>
      <xdr:rowOff>47105</xdr:rowOff>
    </xdr:from>
    <xdr:to>
      <xdr:col>40</xdr:col>
      <xdr:colOff>60960</xdr:colOff>
      <xdr:row>36</xdr:row>
      <xdr:rowOff>54725</xdr:rowOff>
    </xdr:to>
    <xdr:cxnSp macro="">
      <xdr:nvCxnSpPr>
        <xdr:cNvPr id="3308" name="Прямая соединительная линия 4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CxnSpPr>
          <a:cxnSpLocks noChangeShapeType="1"/>
        </xdr:cNvCxnSpPr>
      </xdr:nvCxnSpPr>
      <xdr:spPr bwMode="auto">
        <a:xfrm>
          <a:off x="5327766" y="5519650"/>
          <a:ext cx="2076103" cy="7620"/>
        </a:xfrm>
        <a:prstGeom prst="line">
          <a:avLst/>
        </a:prstGeom>
        <a:noFill/>
        <a:ln w="28575" algn="ctr">
          <a:solidFill>
            <a:srgbClr val="00206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157298</xdr:colOff>
      <xdr:row>82</xdr:row>
      <xdr:rowOff>0</xdr:rowOff>
    </xdr:from>
    <xdr:to>
      <xdr:col>7</xdr:col>
      <xdr:colOff>67257</xdr:colOff>
      <xdr:row>82</xdr:row>
      <xdr:rowOff>189995</xdr:rowOff>
    </xdr:to>
    <xdr:sp macro="" textlink="">
      <xdr:nvSpPr>
        <xdr:cNvPr id="33" name="Умножение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 bwMode="auto">
        <a:xfrm>
          <a:off x="1755321" y="12273643"/>
          <a:ext cx="216865" cy="197302"/>
        </a:xfrm>
        <a:prstGeom prst="mathMultiply">
          <a:avLst>
            <a:gd name="adj1" fmla="val 8135"/>
          </a:avLst>
        </a:prstGeom>
        <a:solidFill>
          <a:schemeClr val="tx1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ru-RU"/>
        </a:p>
      </xdr:txBody>
    </xdr:sp>
    <xdr:clientData/>
  </xdr:twoCellAnchor>
  <xdr:twoCellAnchor>
    <xdr:from>
      <xdr:col>9</xdr:col>
      <xdr:colOff>0</xdr:colOff>
      <xdr:row>82</xdr:row>
      <xdr:rowOff>0</xdr:rowOff>
    </xdr:from>
    <xdr:to>
      <xdr:col>10</xdr:col>
      <xdr:colOff>67186</xdr:colOff>
      <xdr:row>82</xdr:row>
      <xdr:rowOff>189995</xdr:rowOff>
    </xdr:to>
    <xdr:sp macro="" textlink="">
      <xdr:nvSpPr>
        <xdr:cNvPr id="39" name="Умножение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 bwMode="auto">
        <a:xfrm>
          <a:off x="2204357" y="12273643"/>
          <a:ext cx="216865" cy="197302"/>
        </a:xfrm>
        <a:prstGeom prst="mathMultiply">
          <a:avLst>
            <a:gd name="adj1" fmla="val 8135"/>
          </a:avLst>
        </a:prstGeom>
        <a:solidFill>
          <a:schemeClr val="tx1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ru-RU"/>
        </a:p>
      </xdr:txBody>
    </xdr:sp>
    <xdr:clientData/>
  </xdr:twoCellAnchor>
  <xdr:twoCellAnchor>
    <xdr:from>
      <xdr:col>12</xdr:col>
      <xdr:colOff>152400</xdr:colOff>
      <xdr:row>80</xdr:row>
      <xdr:rowOff>60960</xdr:rowOff>
    </xdr:from>
    <xdr:to>
      <xdr:col>13</xdr:col>
      <xdr:colOff>60960</xdr:colOff>
      <xdr:row>80</xdr:row>
      <xdr:rowOff>114300</xdr:rowOff>
    </xdr:to>
    <xdr:sp macro="" textlink="">
      <xdr:nvSpPr>
        <xdr:cNvPr id="3311" name="Овал 93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SpPr>
          <a:spLocks noChangeArrowheads="1"/>
        </xdr:cNvSpPr>
      </xdr:nvSpPr>
      <xdr:spPr bwMode="auto">
        <a:xfrm>
          <a:off x="3040380" y="12131040"/>
          <a:ext cx="68580" cy="53340"/>
        </a:xfrm>
        <a:prstGeom prst="ellipse">
          <a:avLst/>
        </a:prstGeom>
        <a:noFill/>
        <a:ln w="1270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457200</xdr:colOff>
      <xdr:row>7</xdr:row>
      <xdr:rowOff>83820</xdr:rowOff>
    </xdr:from>
    <xdr:to>
      <xdr:col>41</xdr:col>
      <xdr:colOff>594360</xdr:colOff>
      <xdr:row>10</xdr:row>
      <xdr:rowOff>99060</xdr:rowOff>
    </xdr:to>
    <xdr:cxnSp macro="">
      <xdr:nvCxnSpPr>
        <xdr:cNvPr id="3312" name="Прямая соединительная линия 2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CxnSpPr>
          <a:cxnSpLocks noChangeShapeType="1"/>
        </xdr:cNvCxnSpPr>
      </xdr:nvCxnSpPr>
      <xdr:spPr bwMode="auto">
        <a:xfrm flipV="1">
          <a:off x="7985760" y="1150620"/>
          <a:ext cx="137160" cy="472440"/>
        </a:xfrm>
        <a:prstGeom prst="lin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411480</xdr:colOff>
      <xdr:row>79</xdr:row>
      <xdr:rowOff>106680</xdr:rowOff>
    </xdr:from>
    <xdr:to>
      <xdr:col>0</xdr:col>
      <xdr:colOff>563880</xdr:colOff>
      <xdr:row>80</xdr:row>
      <xdr:rowOff>114300</xdr:rowOff>
    </xdr:to>
    <xdr:sp macro="" textlink="">
      <xdr:nvSpPr>
        <xdr:cNvPr id="3313" name="Овал 93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SpPr>
          <a:spLocks noChangeArrowheads="1"/>
        </xdr:cNvSpPr>
      </xdr:nvSpPr>
      <xdr:spPr bwMode="auto">
        <a:xfrm>
          <a:off x="411480" y="12031980"/>
          <a:ext cx="152400" cy="152400"/>
        </a:xfrm>
        <a:prstGeom prst="ellips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792480</xdr:colOff>
      <xdr:row>81</xdr:row>
      <xdr:rowOff>137160</xdr:rowOff>
    </xdr:from>
    <xdr:to>
      <xdr:col>0</xdr:col>
      <xdr:colOff>944880</xdr:colOff>
      <xdr:row>82</xdr:row>
      <xdr:rowOff>144780</xdr:rowOff>
    </xdr:to>
    <xdr:sp macro="" textlink="">
      <xdr:nvSpPr>
        <xdr:cNvPr id="3314" name="Овал 93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SpPr>
          <a:spLocks noChangeArrowheads="1"/>
        </xdr:cNvSpPr>
      </xdr:nvSpPr>
      <xdr:spPr bwMode="auto">
        <a:xfrm>
          <a:off x="792480" y="12359640"/>
          <a:ext cx="152400" cy="152400"/>
        </a:xfrm>
        <a:prstGeom prst="ellipse">
          <a:avLst/>
        </a:prstGeom>
        <a:noFill/>
        <a:ln w="1905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8965</xdr:colOff>
      <xdr:row>3</xdr:row>
      <xdr:rowOff>17929</xdr:rowOff>
    </xdr:from>
    <xdr:to>
      <xdr:col>41</xdr:col>
      <xdr:colOff>8161</xdr:colOff>
      <xdr:row>32</xdr:row>
      <xdr:rowOff>116541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15D2B5A8-3D99-4BAB-99A3-14B01F655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Q149"/>
  <sheetViews>
    <sheetView tabSelected="1" topLeftCell="A37" zoomScale="85" zoomScaleNormal="85" workbookViewId="0">
      <selection activeCell="AS15" sqref="AS15"/>
    </sheetView>
  </sheetViews>
  <sheetFormatPr defaultColWidth="9.140625" defaultRowHeight="12.75"/>
  <cols>
    <col min="1" max="1" width="16.42578125" style="1" customWidth="1"/>
    <col min="2" max="7" width="2.42578125" style="1" customWidth="1"/>
    <col min="8" max="8" width="2.42578125" style="2" customWidth="1"/>
    <col min="9" max="14" width="2.42578125" style="1" customWidth="1"/>
    <col min="15" max="15" width="2.42578125" style="3" customWidth="1"/>
    <col min="16" max="21" width="2.42578125" style="1" customWidth="1"/>
    <col min="22" max="22" width="2.42578125" style="3" customWidth="1"/>
    <col min="23" max="28" width="2.42578125" style="1" customWidth="1"/>
    <col min="29" max="29" width="2.42578125" style="3" customWidth="1"/>
    <col min="30" max="35" width="2.42578125" style="1" customWidth="1"/>
    <col min="36" max="36" width="2.42578125" style="3" customWidth="1"/>
    <col min="37" max="40" width="2.42578125" style="1" customWidth="1"/>
    <col min="41" max="41" width="2.5703125" style="1" customWidth="1"/>
    <col min="42" max="42" width="9.140625" style="1" customWidth="1"/>
    <col min="43" max="46" width="10.85546875" style="1" customWidth="1"/>
    <col min="47" max="47" width="12.42578125" style="1" customWidth="1"/>
    <col min="48" max="49" width="10.85546875" style="1" customWidth="1"/>
    <col min="50" max="52" width="9.140625" style="1"/>
    <col min="54" max="54" width="9.140625" customWidth="1"/>
    <col min="55" max="55" width="9.5703125" customWidth="1"/>
    <col min="61" max="63" width="9.140625" style="215"/>
    <col min="64" max="64" width="12.140625" style="215" customWidth="1"/>
    <col min="65" max="68" width="9.140625" style="215"/>
    <col min="69" max="16384" width="9.140625" style="1"/>
  </cols>
  <sheetData>
    <row r="1" spans="1:69" ht="12" customHeight="1" thickBot="1">
      <c r="A1" s="15"/>
      <c r="B1" s="238"/>
      <c r="C1" s="239"/>
      <c r="D1" s="239"/>
      <c r="E1" s="239"/>
      <c r="F1" s="239"/>
      <c r="G1" s="239"/>
      <c r="H1" s="239"/>
      <c r="I1" s="239"/>
      <c r="J1" s="239"/>
      <c r="K1" s="240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2"/>
      <c r="AQ1" s="111" t="s">
        <v>0</v>
      </c>
      <c r="AR1" s="111" t="s">
        <v>98</v>
      </c>
      <c r="AS1" s="111" t="s">
        <v>99</v>
      </c>
      <c r="AT1" s="228" t="s">
        <v>100</v>
      </c>
      <c r="AU1" s="228" t="s">
        <v>101</v>
      </c>
      <c r="AV1" s="12" t="s">
        <v>102</v>
      </c>
      <c r="AW1" s="12" t="s">
        <v>103</v>
      </c>
      <c r="BJ1" s="215" t="s">
        <v>67</v>
      </c>
      <c r="BK1" s="215" t="s">
        <v>68</v>
      </c>
      <c r="BL1" s="215" t="s">
        <v>69</v>
      </c>
      <c r="BM1" s="215" t="s">
        <v>70</v>
      </c>
      <c r="BN1" s="215" t="s">
        <v>71</v>
      </c>
      <c r="BO1" s="215" t="s">
        <v>72</v>
      </c>
      <c r="BP1" s="215" t="s">
        <v>67</v>
      </c>
    </row>
    <row r="2" spans="1:69" ht="12" customHeight="1" thickBot="1">
      <c r="A2" s="237" t="s">
        <v>54</v>
      </c>
      <c r="B2" s="243" t="str">
        <f>IF(AR2=0," ",AR2)</f>
        <v xml:space="preserve"> </v>
      </c>
      <c r="C2" s="244" t="str">
        <f>IF(AR3=0," ",AR3)</f>
        <v xml:space="preserve"> </v>
      </c>
      <c r="D2" s="244" t="str">
        <f>IF(AR4=0," ",AR4)</f>
        <v xml:space="preserve"> </v>
      </c>
      <c r="E2" s="244" t="str">
        <f>IF(AR5=0," ",AR5)</f>
        <v xml:space="preserve"> </v>
      </c>
      <c r="F2" s="244" t="str">
        <f>IF(AR6=0," ",AR6)</f>
        <v xml:space="preserve"> </v>
      </c>
      <c r="G2" s="244" t="str">
        <f>IF(AR7=0," ",AR7)</f>
        <v xml:space="preserve"> </v>
      </c>
      <c r="H2" s="245" t="str">
        <f>IF(AR8=0," ",AR8)</f>
        <v xml:space="preserve"> </v>
      </c>
      <c r="I2" s="246" t="str">
        <f>IF(AR9=0," ",AR9)</f>
        <v xml:space="preserve"> </v>
      </c>
      <c r="J2" s="244" t="str">
        <f>IF(AR10=0," ",AR10)</f>
        <v xml:space="preserve"> </v>
      </c>
      <c r="K2" s="244" t="str">
        <f>IF(AR12=0," ",AR12)</f>
        <v xml:space="preserve"> </v>
      </c>
      <c r="L2" s="244" t="str">
        <f>IF(AR12=0," ",AR12)</f>
        <v xml:space="preserve"> </v>
      </c>
      <c r="M2" s="244" t="str">
        <f>IF(AR13=0," ",AR13)</f>
        <v xml:space="preserve"> </v>
      </c>
      <c r="N2" s="244" t="str">
        <f>IF(AR14=0," ",AR14)</f>
        <v xml:space="preserve"> </v>
      </c>
      <c r="O2" s="245" t="str">
        <f>IF(AR15=0," ",AR15)</f>
        <v xml:space="preserve"> </v>
      </c>
      <c r="P2" s="246" t="str">
        <f>IF(AR16=0," ",AR16)</f>
        <v xml:space="preserve"> </v>
      </c>
      <c r="Q2" s="244" t="str">
        <f>IF(AR17=0," ",AR17)</f>
        <v xml:space="preserve"> </v>
      </c>
      <c r="R2" s="244" t="str">
        <f>IF(AR18=0," ",AR18)</f>
        <v xml:space="preserve"> </v>
      </c>
      <c r="S2" s="244" t="str">
        <f>IF(AR19=0," ",AR19)</f>
        <v xml:space="preserve"> </v>
      </c>
      <c r="T2" s="244" t="str">
        <f>IF(AR20=0," ",AR20)</f>
        <v xml:space="preserve"> </v>
      </c>
      <c r="U2" s="244" t="str">
        <f>IF(AR21=0," ",AR21)</f>
        <v xml:space="preserve"> </v>
      </c>
      <c r="V2" s="245" t="str">
        <f>IF(AR22=0," ",AR22)</f>
        <v xml:space="preserve"> </v>
      </c>
      <c r="W2" s="246" t="str">
        <f>IF(AR23=0," ",AR23)</f>
        <v xml:space="preserve"> </v>
      </c>
      <c r="X2" s="244" t="str">
        <f>IF(AR24=0," ",AR24)</f>
        <v xml:space="preserve"> </v>
      </c>
      <c r="Y2" s="244" t="str">
        <f>IF(AR25=0," ",AR25)</f>
        <v xml:space="preserve"> </v>
      </c>
      <c r="Z2" s="244" t="str">
        <f>IF(AR26=0," ",AR26)</f>
        <v xml:space="preserve"> </v>
      </c>
      <c r="AA2" s="244" t="str">
        <f>IF(AR27=0," ",AR27)</f>
        <v xml:space="preserve"> </v>
      </c>
      <c r="AB2" s="244" t="str">
        <f>IF(AR28=0," ",AR28)</f>
        <v xml:space="preserve"> </v>
      </c>
      <c r="AC2" s="245" t="str">
        <f>IF(AR29=0," ",AR29)</f>
        <v xml:space="preserve"> </v>
      </c>
      <c r="AD2" s="246" t="str">
        <f>IF(AR30=0," ",AR30)</f>
        <v xml:space="preserve"> </v>
      </c>
      <c r="AE2" s="244" t="str">
        <f>IF(AR31=0," ",AR31)</f>
        <v xml:space="preserve"> </v>
      </c>
      <c r="AF2" s="244" t="str">
        <f>+IF(AR32=0," ",AR32)</f>
        <v xml:space="preserve"> </v>
      </c>
      <c r="AG2" s="244" t="str">
        <f>IF(AR33=0," ",AR33)</f>
        <v xml:space="preserve"> </v>
      </c>
      <c r="AH2" s="244" t="str">
        <f>IF(AR34=0," ",AR34)</f>
        <v xml:space="preserve"> </v>
      </c>
      <c r="AI2" s="244" t="str">
        <f>IF(AR35=0," ",AR35)</f>
        <v xml:space="preserve"> </v>
      </c>
      <c r="AJ2" s="245" t="str">
        <f>IF(AR36=0," ",AR36)</f>
        <v xml:space="preserve"> </v>
      </c>
      <c r="AK2" s="246" t="str">
        <f>IF(AR37=0," ",AR37)</f>
        <v xml:space="preserve"> </v>
      </c>
      <c r="AL2" s="244" t="str">
        <f>IF(AR38=0," ",AR38)</f>
        <v xml:space="preserve"> </v>
      </c>
      <c r="AM2" s="244" t="str">
        <f>IF(AR39=0," ",AR39)</f>
        <v xml:space="preserve"> </v>
      </c>
      <c r="AN2" s="244" t="str">
        <f>IF(AR40=0," ",AR40)</f>
        <v xml:space="preserve"> </v>
      </c>
      <c r="AO2" s="245" t="str">
        <f>IF(AR41=0," ",AR41)</f>
        <v xml:space="preserve"> </v>
      </c>
      <c r="AQ2" s="229">
        <v>1</v>
      </c>
      <c r="AR2" s="230"/>
      <c r="AS2" s="231"/>
      <c r="AT2" s="230"/>
      <c r="AU2" s="230"/>
      <c r="AV2" s="12" t="s">
        <v>104</v>
      </c>
      <c r="AW2" s="12" t="s">
        <v>105</v>
      </c>
      <c r="BA2" s="1"/>
      <c r="BB2" s="1"/>
      <c r="BC2" s="1"/>
      <c r="BD2" s="1"/>
      <c r="BE2" s="1"/>
      <c r="BF2" s="1"/>
      <c r="BG2" s="1"/>
      <c r="BH2" s="1"/>
      <c r="BI2" s="215" t="e">
        <f t="shared" ref="BI2:BI41" si="0">IF(OR(AS2&gt;0),AS2,NA())</f>
        <v>#N/A</v>
      </c>
      <c r="BJ2" s="215" t="e">
        <f t="shared" ref="BJ2:BJ41" si="1">IF(OR(#REF!&gt;0),#REF!,BI2)</f>
        <v>#REF!</v>
      </c>
      <c r="BK2" s="215" t="e">
        <f t="shared" ref="BK2:BK41" si="2">IF(OR(AT2&gt;0),AS2,NA())</f>
        <v>#N/A</v>
      </c>
      <c r="BL2" s="215" t="e">
        <f t="shared" ref="BL2:BL10" si="3">IF(OR(#REF!&gt;0),AS2,NA())</f>
        <v>#REF!</v>
      </c>
      <c r="BM2" s="216">
        <v>0.20833333333333301</v>
      </c>
      <c r="BN2" s="215" t="e">
        <f t="shared" ref="BN2:BN41" si="4">IF(OR(#REF!&gt;0),#REF!,BJ2)</f>
        <v>#REF!</v>
      </c>
      <c r="BO2" s="215">
        <v>1</v>
      </c>
      <c r="BP2" s="217">
        <v>35.9</v>
      </c>
      <c r="BQ2" s="269" t="s">
        <v>125</v>
      </c>
    </row>
    <row r="3" spans="1:69" ht="12" customHeight="1" thickBot="1">
      <c r="A3" s="99" t="s">
        <v>0</v>
      </c>
      <c r="B3" s="176">
        <v>1</v>
      </c>
      <c r="C3" s="127">
        <v>2</v>
      </c>
      <c r="D3" s="127">
        <v>3</v>
      </c>
      <c r="E3" s="127">
        <v>4</v>
      </c>
      <c r="F3" s="127">
        <v>5</v>
      </c>
      <c r="G3" s="127">
        <v>6</v>
      </c>
      <c r="H3" s="128">
        <v>7</v>
      </c>
      <c r="I3" s="169">
        <v>8</v>
      </c>
      <c r="J3" s="170">
        <v>9</v>
      </c>
      <c r="K3" s="170">
        <v>10</v>
      </c>
      <c r="L3" s="170">
        <v>11</v>
      </c>
      <c r="M3" s="170">
        <v>12</v>
      </c>
      <c r="N3" s="170">
        <v>13</v>
      </c>
      <c r="O3" s="171">
        <v>14</v>
      </c>
      <c r="P3" s="126">
        <v>15</v>
      </c>
      <c r="Q3" s="127">
        <v>16</v>
      </c>
      <c r="R3" s="127">
        <v>17</v>
      </c>
      <c r="S3" s="127">
        <v>18</v>
      </c>
      <c r="T3" s="127">
        <v>19</v>
      </c>
      <c r="U3" s="127">
        <v>20</v>
      </c>
      <c r="V3" s="128">
        <v>21</v>
      </c>
      <c r="W3" s="126">
        <v>22</v>
      </c>
      <c r="X3" s="127">
        <v>23</v>
      </c>
      <c r="Y3" s="127">
        <v>24</v>
      </c>
      <c r="Z3" s="127">
        <v>25</v>
      </c>
      <c r="AA3" s="127">
        <v>26</v>
      </c>
      <c r="AB3" s="127">
        <v>27</v>
      </c>
      <c r="AC3" s="128">
        <v>28</v>
      </c>
      <c r="AD3" s="169">
        <v>29</v>
      </c>
      <c r="AE3" s="170">
        <v>30</v>
      </c>
      <c r="AF3" s="170">
        <v>31</v>
      </c>
      <c r="AG3" s="170">
        <v>32</v>
      </c>
      <c r="AH3" s="170">
        <v>33</v>
      </c>
      <c r="AI3" s="170">
        <v>34</v>
      </c>
      <c r="AJ3" s="171">
        <v>35</v>
      </c>
      <c r="AK3" s="169">
        <v>36</v>
      </c>
      <c r="AL3" s="170">
        <v>37</v>
      </c>
      <c r="AM3" s="170">
        <v>38</v>
      </c>
      <c r="AN3" s="170">
        <v>39</v>
      </c>
      <c r="AO3" s="177">
        <v>40</v>
      </c>
      <c r="AQ3" s="229">
        <v>2</v>
      </c>
      <c r="AR3" s="230"/>
      <c r="AS3" s="231"/>
      <c r="AT3" s="230"/>
      <c r="AU3" s="230"/>
      <c r="AV3" s="12" t="s">
        <v>106</v>
      </c>
      <c r="AW3" s="12" t="s">
        <v>107</v>
      </c>
      <c r="BI3" s="215" t="e">
        <f t="shared" si="0"/>
        <v>#N/A</v>
      </c>
      <c r="BJ3" s="215" t="e">
        <f t="shared" si="1"/>
        <v>#REF!</v>
      </c>
      <c r="BK3" s="215" t="e">
        <f t="shared" si="2"/>
        <v>#N/A</v>
      </c>
      <c r="BL3" s="215" t="e">
        <f t="shared" si="3"/>
        <v>#REF!</v>
      </c>
      <c r="BM3" s="216">
        <v>0.22916666666666699</v>
      </c>
      <c r="BN3" s="215" t="e">
        <f t="shared" si="4"/>
        <v>#REF!</v>
      </c>
      <c r="BO3" s="215">
        <v>2</v>
      </c>
      <c r="BP3" s="217">
        <v>35.950000000000003</v>
      </c>
      <c r="BQ3" s="269" t="s">
        <v>130</v>
      </c>
    </row>
    <row r="4" spans="1:69" ht="12" customHeight="1">
      <c r="A4" s="55">
        <v>37.35</v>
      </c>
      <c r="B4" s="116"/>
      <c r="C4" s="117"/>
      <c r="D4" s="117"/>
      <c r="E4" s="189"/>
      <c r="F4" s="189"/>
      <c r="G4" s="189"/>
      <c r="H4" s="190"/>
      <c r="I4" s="191"/>
      <c r="J4" s="45"/>
      <c r="K4" s="45"/>
      <c r="L4" s="18"/>
      <c r="M4" s="119"/>
      <c r="N4" s="120"/>
      <c r="O4" s="121"/>
      <c r="P4" s="122"/>
      <c r="Q4" s="123"/>
      <c r="R4" s="123"/>
      <c r="S4" s="123"/>
      <c r="T4" s="123"/>
      <c r="U4" s="123"/>
      <c r="V4" s="124"/>
      <c r="W4" s="122"/>
      <c r="X4" s="123"/>
      <c r="Y4" s="123"/>
      <c r="Z4" s="123"/>
      <c r="AA4" s="123"/>
      <c r="AB4" s="117"/>
      <c r="AC4" s="118"/>
      <c r="AD4" s="100"/>
      <c r="AE4" s="18"/>
      <c r="AF4" s="18"/>
      <c r="AG4" s="18"/>
      <c r="AH4" s="18"/>
      <c r="AI4" s="18"/>
      <c r="AJ4" s="19"/>
      <c r="AK4" s="17"/>
      <c r="AL4" s="18"/>
      <c r="AM4" s="18"/>
      <c r="AN4" s="18"/>
      <c r="AO4" s="20"/>
      <c r="AQ4" s="229">
        <v>3</v>
      </c>
      <c r="AR4" s="230"/>
      <c r="AS4" s="231"/>
      <c r="AT4" s="230"/>
      <c r="AU4" s="230"/>
      <c r="AV4" s="12" t="s">
        <v>108</v>
      </c>
      <c r="AW4" s="12" t="s">
        <v>109</v>
      </c>
      <c r="BI4" s="215" t="e">
        <f t="shared" si="0"/>
        <v>#N/A</v>
      </c>
      <c r="BJ4" s="215" t="e">
        <f t="shared" si="1"/>
        <v>#REF!</v>
      </c>
      <c r="BK4" s="215" t="e">
        <f t="shared" si="2"/>
        <v>#N/A</v>
      </c>
      <c r="BL4" s="215" t="e">
        <f t="shared" si="3"/>
        <v>#REF!</v>
      </c>
      <c r="BM4" s="216">
        <v>0.25</v>
      </c>
      <c r="BN4" s="215" t="e">
        <f t="shared" si="4"/>
        <v>#REF!</v>
      </c>
      <c r="BO4" s="215">
        <v>3</v>
      </c>
      <c r="BP4" s="217">
        <v>36</v>
      </c>
      <c r="BQ4" s="269" t="s">
        <v>126</v>
      </c>
    </row>
    <row r="5" spans="1:69" ht="12" customHeight="1" thickBot="1">
      <c r="A5" s="56">
        <v>37.299999999999997</v>
      </c>
      <c r="B5" s="102"/>
      <c r="C5" s="22"/>
      <c r="D5" s="22"/>
      <c r="E5" s="22"/>
      <c r="F5" s="22"/>
      <c r="G5" s="22"/>
      <c r="H5" s="103"/>
      <c r="I5" s="101"/>
      <c r="J5" s="22"/>
      <c r="K5" s="22"/>
      <c r="L5" s="22"/>
      <c r="M5" s="22"/>
      <c r="N5" s="22"/>
      <c r="O5" s="23"/>
      <c r="P5" s="102"/>
      <c r="Q5" s="22"/>
      <c r="R5" s="22"/>
      <c r="S5" s="22"/>
      <c r="T5" s="22"/>
      <c r="U5" s="22"/>
      <c r="V5" s="23"/>
      <c r="W5" s="102"/>
      <c r="X5" s="22"/>
      <c r="Y5" s="22"/>
      <c r="Z5" s="22"/>
      <c r="AA5" s="22"/>
      <c r="AB5" s="22"/>
      <c r="AC5" s="103"/>
      <c r="AD5" s="101"/>
      <c r="AE5" s="22"/>
      <c r="AF5" s="22"/>
      <c r="AG5" s="22"/>
      <c r="AH5" s="22"/>
      <c r="AI5" s="22"/>
      <c r="AJ5" s="23"/>
      <c r="AK5" s="21"/>
      <c r="AL5" s="22"/>
      <c r="AM5" s="22"/>
      <c r="AN5" s="22"/>
      <c r="AO5" s="24"/>
      <c r="AQ5" s="229">
        <v>4</v>
      </c>
      <c r="AR5" s="230"/>
      <c r="AS5" s="231"/>
      <c r="AT5" s="230"/>
      <c r="AU5" s="230"/>
      <c r="AV5" s="12" t="s">
        <v>110</v>
      </c>
      <c r="AW5" s="12" t="s">
        <v>111</v>
      </c>
      <c r="BI5" s="215" t="e">
        <f t="shared" si="0"/>
        <v>#N/A</v>
      </c>
      <c r="BJ5" s="215" t="e">
        <f t="shared" si="1"/>
        <v>#REF!</v>
      </c>
      <c r="BK5" s="215" t="e">
        <f t="shared" si="2"/>
        <v>#N/A</v>
      </c>
      <c r="BL5" s="215" t="e">
        <f t="shared" si="3"/>
        <v>#REF!</v>
      </c>
      <c r="BM5" s="216">
        <v>0.27083333333333298</v>
      </c>
      <c r="BN5" s="215" t="e">
        <f t="shared" si="4"/>
        <v>#REF!</v>
      </c>
      <c r="BO5" s="215">
        <v>4</v>
      </c>
      <c r="BP5" s="217">
        <v>36.049999999999997</v>
      </c>
      <c r="BQ5" s="269" t="s">
        <v>131</v>
      </c>
    </row>
    <row r="6" spans="1:69" ht="12" customHeight="1">
      <c r="A6" s="55">
        <v>37.25</v>
      </c>
      <c r="B6" s="104"/>
      <c r="C6" s="18"/>
      <c r="D6" s="18"/>
      <c r="E6" s="18"/>
      <c r="F6" s="18"/>
      <c r="G6" s="18"/>
      <c r="H6" s="105"/>
      <c r="I6" s="100"/>
      <c r="J6" s="18"/>
      <c r="K6" s="18"/>
      <c r="L6" s="18"/>
      <c r="M6" s="18"/>
      <c r="N6" s="18"/>
      <c r="O6" s="19"/>
      <c r="P6" s="104"/>
      <c r="Q6" s="18"/>
      <c r="R6" s="18"/>
      <c r="S6" s="18"/>
      <c r="T6" s="18"/>
      <c r="U6" s="18"/>
      <c r="V6" s="19"/>
      <c r="W6" s="104"/>
      <c r="X6" s="18"/>
      <c r="Y6" s="18"/>
      <c r="Z6" s="18"/>
      <c r="AA6" s="18"/>
      <c r="AB6" s="18"/>
      <c r="AC6" s="105"/>
      <c r="AD6" s="100"/>
      <c r="AE6" s="18"/>
      <c r="AF6" s="18"/>
      <c r="AG6" s="18"/>
      <c r="AH6" s="18"/>
      <c r="AI6" s="18"/>
      <c r="AJ6" s="19"/>
      <c r="AK6" s="17"/>
      <c r="AL6" s="18"/>
      <c r="AM6" s="18"/>
      <c r="AN6" s="18"/>
      <c r="AO6" s="20"/>
      <c r="AQ6" s="229">
        <v>5</v>
      </c>
      <c r="AR6" s="230"/>
      <c r="AS6" s="231"/>
      <c r="AT6" s="230"/>
      <c r="AU6" s="230"/>
      <c r="AV6" s="12" t="s">
        <v>112</v>
      </c>
      <c r="AW6" s="12" t="s">
        <v>113</v>
      </c>
      <c r="BI6" s="215" t="e">
        <f t="shared" si="0"/>
        <v>#N/A</v>
      </c>
      <c r="BJ6" s="215" t="e">
        <f t="shared" si="1"/>
        <v>#REF!</v>
      </c>
      <c r="BK6" s="215" t="e">
        <f t="shared" si="2"/>
        <v>#N/A</v>
      </c>
      <c r="BL6" s="215" t="e">
        <f t="shared" si="3"/>
        <v>#REF!</v>
      </c>
      <c r="BM6" s="216">
        <v>0.29166666666666702</v>
      </c>
      <c r="BN6" s="215" t="e">
        <f t="shared" si="4"/>
        <v>#REF!</v>
      </c>
      <c r="BO6" s="215">
        <v>5</v>
      </c>
      <c r="BP6" s="217">
        <v>36.1</v>
      </c>
      <c r="BQ6" s="269" t="s">
        <v>127</v>
      </c>
    </row>
    <row r="7" spans="1:69" ht="12" customHeight="1" thickBot="1">
      <c r="A7" s="56" t="s">
        <v>42</v>
      </c>
      <c r="B7" s="102"/>
      <c r="C7" s="22"/>
      <c r="D7" s="22"/>
      <c r="E7" s="22"/>
      <c r="F7" s="22"/>
      <c r="G7" s="22"/>
      <c r="H7" s="103"/>
      <c r="I7" s="187"/>
      <c r="J7" s="22"/>
      <c r="K7" s="22"/>
      <c r="L7" s="50"/>
      <c r="M7" s="50"/>
      <c r="N7" s="22"/>
      <c r="O7" s="23"/>
      <c r="P7" s="102"/>
      <c r="Q7" s="22"/>
      <c r="R7" s="22"/>
      <c r="S7" s="22"/>
      <c r="T7" s="22"/>
      <c r="U7" s="22"/>
      <c r="V7" s="23"/>
      <c r="W7" s="102"/>
      <c r="X7" s="22"/>
      <c r="Y7" s="22"/>
      <c r="Z7" s="22"/>
      <c r="AA7" s="22"/>
      <c r="AB7" s="22"/>
      <c r="AC7" s="103"/>
      <c r="AD7" s="101"/>
      <c r="AE7" s="22"/>
      <c r="AF7" s="22"/>
      <c r="AG7" s="22"/>
      <c r="AH7" s="22"/>
      <c r="AI7" s="22"/>
      <c r="AJ7" s="23"/>
      <c r="AK7" s="21"/>
      <c r="AL7" s="22"/>
      <c r="AM7" s="22"/>
      <c r="AN7" s="22"/>
      <c r="AO7" s="24"/>
      <c r="AQ7" s="229">
        <v>6</v>
      </c>
      <c r="AR7" s="230"/>
      <c r="AS7" s="231"/>
      <c r="AT7" s="230"/>
      <c r="AU7" s="230"/>
      <c r="AV7" s="12" t="s">
        <v>114</v>
      </c>
      <c r="AW7" s="12" t="s">
        <v>97</v>
      </c>
      <c r="BI7" s="215" t="e">
        <f t="shared" si="0"/>
        <v>#N/A</v>
      </c>
      <c r="BJ7" s="215" t="e">
        <f t="shared" si="1"/>
        <v>#REF!</v>
      </c>
      <c r="BK7" s="215" t="e">
        <f t="shared" si="2"/>
        <v>#N/A</v>
      </c>
      <c r="BL7" s="215" t="e">
        <f t="shared" si="3"/>
        <v>#REF!</v>
      </c>
      <c r="BM7" s="216">
        <v>0.3125</v>
      </c>
      <c r="BN7" s="215" t="e">
        <f t="shared" si="4"/>
        <v>#REF!</v>
      </c>
      <c r="BO7" s="215">
        <v>6</v>
      </c>
      <c r="BP7" s="217">
        <v>36.15</v>
      </c>
      <c r="BQ7" s="269" t="s">
        <v>132</v>
      </c>
    </row>
    <row r="8" spans="1:69" ht="12" customHeight="1">
      <c r="A8" s="55" t="s">
        <v>41</v>
      </c>
      <c r="B8" s="104"/>
      <c r="C8" s="18"/>
      <c r="D8" s="18"/>
      <c r="E8" s="18"/>
      <c r="F8" s="18"/>
      <c r="G8" s="18"/>
      <c r="H8" s="105"/>
      <c r="I8" s="100"/>
      <c r="J8" s="18"/>
      <c r="K8" s="18"/>
      <c r="L8" s="18"/>
      <c r="M8" s="18"/>
      <c r="N8" s="18"/>
      <c r="O8" s="19"/>
      <c r="P8" s="104"/>
      <c r="Q8" s="18"/>
      <c r="R8" s="18"/>
      <c r="S8" s="18"/>
      <c r="T8" s="18"/>
      <c r="U8" s="18"/>
      <c r="V8" s="19"/>
      <c r="W8" s="104"/>
      <c r="X8" s="18"/>
      <c r="Y8" s="18"/>
      <c r="Z8" s="18"/>
      <c r="AA8" s="18"/>
      <c r="AB8" s="18"/>
      <c r="AC8" s="105"/>
      <c r="AD8" s="100"/>
      <c r="AE8" s="18"/>
      <c r="AF8" s="18"/>
      <c r="AG8" s="18"/>
      <c r="AH8" s="18"/>
      <c r="AI8" s="18"/>
      <c r="AJ8" s="19"/>
      <c r="AK8" s="17"/>
      <c r="AL8" s="18"/>
      <c r="AM8" s="18"/>
      <c r="AN8" s="18"/>
      <c r="AO8" s="24"/>
      <c r="AQ8" s="229">
        <v>7</v>
      </c>
      <c r="AR8" s="230"/>
      <c r="AS8" s="231"/>
      <c r="AT8" s="230"/>
      <c r="AU8" s="230"/>
      <c r="AV8" s="12" t="s">
        <v>115</v>
      </c>
      <c r="AW8" s="12" t="s">
        <v>116</v>
      </c>
      <c r="BI8" s="215" t="e">
        <f t="shared" si="0"/>
        <v>#N/A</v>
      </c>
      <c r="BJ8" s="215" t="e">
        <f t="shared" si="1"/>
        <v>#REF!</v>
      </c>
      <c r="BK8" s="215" t="e">
        <f t="shared" si="2"/>
        <v>#N/A</v>
      </c>
      <c r="BL8" s="215" t="e">
        <f t="shared" si="3"/>
        <v>#REF!</v>
      </c>
      <c r="BM8" s="216">
        <v>0.33333333333333298</v>
      </c>
      <c r="BN8" s="215" t="e">
        <f t="shared" si="4"/>
        <v>#REF!</v>
      </c>
      <c r="BO8" s="215">
        <v>7</v>
      </c>
      <c r="BP8" s="217">
        <v>36.200000000000003</v>
      </c>
      <c r="BQ8" s="269" t="s">
        <v>128</v>
      </c>
    </row>
    <row r="9" spans="1:69" ht="12" customHeight="1" thickBot="1">
      <c r="A9" s="56" t="s">
        <v>40</v>
      </c>
      <c r="B9" s="102"/>
      <c r="C9" s="22"/>
      <c r="D9" s="22"/>
      <c r="E9" s="22"/>
      <c r="F9" s="22"/>
      <c r="G9" s="132"/>
      <c r="H9" s="151"/>
      <c r="I9" s="101"/>
      <c r="J9" s="22"/>
      <c r="K9" s="22"/>
      <c r="L9" s="22"/>
      <c r="M9" s="22"/>
      <c r="N9" s="22"/>
      <c r="O9" s="23"/>
      <c r="P9" s="102"/>
      <c r="Q9" s="22"/>
      <c r="R9" s="22"/>
      <c r="S9" s="22"/>
      <c r="T9" s="22"/>
      <c r="U9" s="22"/>
      <c r="V9" s="23"/>
      <c r="W9" s="102"/>
      <c r="X9" s="22"/>
      <c r="Y9" s="22"/>
      <c r="Z9" s="22"/>
      <c r="AA9" s="22"/>
      <c r="AB9" s="22"/>
      <c r="AC9" s="24"/>
      <c r="AD9" s="101"/>
      <c r="AE9" s="22"/>
      <c r="AF9" s="22"/>
      <c r="AG9" s="22"/>
      <c r="AH9" s="22"/>
      <c r="AI9" s="22"/>
      <c r="AJ9" s="23"/>
      <c r="AK9" s="21"/>
      <c r="AL9" s="22"/>
      <c r="AM9" s="22"/>
      <c r="AN9" s="22"/>
      <c r="AO9" s="20"/>
      <c r="AQ9" s="229">
        <v>8</v>
      </c>
      <c r="AR9" s="230"/>
      <c r="AS9" s="231"/>
      <c r="AT9" s="230"/>
      <c r="AU9" s="230"/>
      <c r="AV9" s="12" t="s">
        <v>117</v>
      </c>
      <c r="AW9" s="12" t="s">
        <v>96</v>
      </c>
      <c r="BI9" s="215" t="e">
        <f t="shared" si="0"/>
        <v>#N/A</v>
      </c>
      <c r="BJ9" s="215" t="e">
        <f t="shared" si="1"/>
        <v>#REF!</v>
      </c>
      <c r="BK9" s="215" t="e">
        <f t="shared" si="2"/>
        <v>#N/A</v>
      </c>
      <c r="BL9" s="215" t="e">
        <f t="shared" si="3"/>
        <v>#REF!</v>
      </c>
      <c r="BM9" s="216">
        <v>0.35416666666666702</v>
      </c>
      <c r="BN9" s="215" t="e">
        <f t="shared" si="4"/>
        <v>#REF!</v>
      </c>
      <c r="BO9" s="215">
        <v>8</v>
      </c>
      <c r="BP9" s="217">
        <v>36.25</v>
      </c>
      <c r="BQ9" s="269" t="s">
        <v>133</v>
      </c>
    </row>
    <row r="10" spans="1:69" ht="12" customHeight="1">
      <c r="A10" s="206" t="s">
        <v>39</v>
      </c>
      <c r="B10" s="100"/>
      <c r="C10" s="18"/>
      <c r="D10" s="18"/>
      <c r="E10" s="18"/>
      <c r="F10" s="18"/>
      <c r="G10" s="18"/>
      <c r="H10" s="105"/>
      <c r="I10" s="100"/>
      <c r="J10" s="18"/>
      <c r="K10" s="18"/>
      <c r="L10" s="18"/>
      <c r="M10" s="18"/>
      <c r="N10" s="18"/>
      <c r="O10" s="19"/>
      <c r="P10" s="104"/>
      <c r="Q10" s="18"/>
      <c r="R10" s="18"/>
      <c r="S10" s="18"/>
      <c r="T10" s="45"/>
      <c r="U10" s="45"/>
      <c r="V10" s="46"/>
      <c r="W10" s="110"/>
      <c r="X10" s="45"/>
      <c r="Y10" s="45"/>
      <c r="Z10" s="45"/>
      <c r="AA10" s="18"/>
      <c r="AB10" s="18"/>
      <c r="AC10" s="20"/>
      <c r="AD10" s="100"/>
      <c r="AE10" s="18"/>
      <c r="AF10" s="18"/>
      <c r="AG10" s="18"/>
      <c r="AH10" s="18"/>
      <c r="AI10" s="18"/>
      <c r="AJ10" s="19"/>
      <c r="AK10" s="17"/>
      <c r="AL10" s="18"/>
      <c r="AM10" s="18"/>
      <c r="AN10" s="18"/>
      <c r="AO10" s="24"/>
      <c r="AQ10" s="229">
        <v>9</v>
      </c>
      <c r="AR10" s="230"/>
      <c r="AS10" s="231"/>
      <c r="AT10" s="230"/>
      <c r="AU10" s="230"/>
      <c r="AV10" s="12" t="s">
        <v>118</v>
      </c>
      <c r="AW10" s="12" t="s">
        <v>119</v>
      </c>
      <c r="BI10" s="215" t="e">
        <f t="shared" si="0"/>
        <v>#N/A</v>
      </c>
      <c r="BJ10" s="215" t="e">
        <f t="shared" si="1"/>
        <v>#REF!</v>
      </c>
      <c r="BK10" s="215" t="e">
        <f t="shared" si="2"/>
        <v>#N/A</v>
      </c>
      <c r="BL10" s="215" t="e">
        <f t="shared" si="3"/>
        <v>#REF!</v>
      </c>
      <c r="BM10" s="216">
        <v>0.375</v>
      </c>
      <c r="BN10" s="215" t="e">
        <f t="shared" si="4"/>
        <v>#REF!</v>
      </c>
      <c r="BO10" s="215">
        <v>9</v>
      </c>
      <c r="BP10" s="217">
        <v>36.299999999999997</v>
      </c>
      <c r="BQ10" s="269" t="s">
        <v>129</v>
      </c>
    </row>
    <row r="11" spans="1:69" ht="12" customHeight="1" thickBot="1">
      <c r="A11" s="207" t="s">
        <v>38</v>
      </c>
      <c r="B11" s="132"/>
      <c r="C11" s="132"/>
      <c r="D11" s="22"/>
      <c r="E11" s="186"/>
      <c r="F11" s="186"/>
      <c r="G11" s="132"/>
      <c r="H11" s="133"/>
      <c r="I11" s="134"/>
      <c r="J11" s="132"/>
      <c r="K11" s="132"/>
      <c r="L11" s="132"/>
      <c r="M11" s="132"/>
      <c r="N11" s="132"/>
      <c r="O11" s="135"/>
      <c r="P11" s="136"/>
      <c r="Q11" s="132"/>
      <c r="R11" s="132"/>
      <c r="S11" s="132"/>
      <c r="T11" s="132"/>
      <c r="U11" s="132"/>
      <c r="V11" s="151"/>
      <c r="W11" s="134"/>
      <c r="X11" s="132"/>
      <c r="Y11" s="132"/>
      <c r="Z11" s="132"/>
      <c r="AA11" s="187"/>
      <c r="AB11" s="132"/>
      <c r="AC11" s="151"/>
      <c r="AD11" s="132"/>
      <c r="AE11" s="132"/>
      <c r="AF11" s="132"/>
      <c r="AG11" s="132"/>
      <c r="AH11" s="132"/>
      <c r="AI11" s="132"/>
      <c r="AJ11" s="135"/>
      <c r="AK11" s="137"/>
      <c r="AL11" s="132"/>
      <c r="AM11" s="22"/>
      <c r="AN11" s="22"/>
      <c r="AO11" s="24"/>
      <c r="AQ11" s="229">
        <v>10</v>
      </c>
      <c r="AR11" s="230"/>
      <c r="AS11" s="231"/>
      <c r="AT11" s="230"/>
      <c r="AU11" s="230"/>
      <c r="AV11" s="12" t="s">
        <v>120</v>
      </c>
      <c r="AW11" s="12" t="s">
        <v>121</v>
      </c>
      <c r="BI11" s="215" t="e">
        <f t="shared" si="0"/>
        <v>#N/A</v>
      </c>
      <c r="BJ11" s="215" t="e">
        <f t="shared" si="1"/>
        <v>#REF!</v>
      </c>
      <c r="BK11" s="215" t="e">
        <f t="shared" si="2"/>
        <v>#N/A</v>
      </c>
      <c r="BL11" s="215">
        <f t="shared" ref="BL11:BL41" si="5">IF(OR(AV11&gt;0),AS11,NA())</f>
        <v>0</v>
      </c>
      <c r="BM11" s="216">
        <v>0.39583333333333298</v>
      </c>
      <c r="BN11" s="215" t="e">
        <f t="shared" si="4"/>
        <v>#REF!</v>
      </c>
      <c r="BO11" s="215">
        <v>10</v>
      </c>
      <c r="BP11" s="217">
        <v>36.35</v>
      </c>
      <c r="BQ11" s="269" t="s">
        <v>134</v>
      </c>
    </row>
    <row r="12" spans="1:69" ht="12" customHeight="1">
      <c r="A12" s="208">
        <v>36.950000000000003</v>
      </c>
      <c r="B12" s="100"/>
      <c r="C12" s="18"/>
      <c r="D12" s="18"/>
      <c r="E12" s="138"/>
      <c r="F12" s="138"/>
      <c r="G12" s="138"/>
      <c r="H12" s="139"/>
      <c r="I12" s="140"/>
      <c r="J12" s="138"/>
      <c r="K12" s="138"/>
      <c r="L12" s="138"/>
      <c r="M12" s="138"/>
      <c r="N12" s="138"/>
      <c r="O12" s="141"/>
      <c r="P12" s="142"/>
      <c r="Q12" s="138"/>
      <c r="R12" s="138"/>
      <c r="S12" s="138"/>
      <c r="T12" s="132"/>
      <c r="U12" s="132"/>
      <c r="V12" s="151"/>
      <c r="W12" s="140"/>
      <c r="X12" s="138"/>
      <c r="Y12" s="138"/>
      <c r="Z12" s="138"/>
      <c r="AA12" s="138"/>
      <c r="AB12" s="132"/>
      <c r="AC12" s="151"/>
      <c r="AD12" s="140"/>
      <c r="AE12" s="132"/>
      <c r="AF12" s="138"/>
      <c r="AG12" s="138"/>
      <c r="AH12" s="138"/>
      <c r="AI12" s="138"/>
      <c r="AJ12" s="141"/>
      <c r="AK12" s="143"/>
      <c r="AL12" s="138"/>
      <c r="AM12" s="18"/>
      <c r="AN12" s="18"/>
      <c r="AO12" s="20"/>
      <c r="AQ12" s="229">
        <v>11</v>
      </c>
      <c r="AR12" s="230"/>
      <c r="AS12" s="231"/>
      <c r="AT12" s="230"/>
      <c r="AU12" s="230"/>
      <c r="BI12" s="215" t="e">
        <f t="shared" si="0"/>
        <v>#N/A</v>
      </c>
      <c r="BJ12" s="215" t="e">
        <f t="shared" si="1"/>
        <v>#REF!</v>
      </c>
      <c r="BK12" s="215" t="e">
        <f t="shared" si="2"/>
        <v>#N/A</v>
      </c>
      <c r="BL12" s="215" t="e">
        <f t="shared" si="5"/>
        <v>#N/A</v>
      </c>
      <c r="BM12" s="216">
        <v>0.41666666666666702</v>
      </c>
      <c r="BN12" s="215" t="e">
        <f t="shared" si="4"/>
        <v>#REF!</v>
      </c>
      <c r="BO12" s="215">
        <v>11</v>
      </c>
      <c r="BP12" s="217">
        <v>36.4</v>
      </c>
      <c r="BQ12" s="269" t="s">
        <v>135</v>
      </c>
    </row>
    <row r="13" spans="1:69" ht="12" customHeight="1" thickBot="1">
      <c r="A13" s="207">
        <v>36.9</v>
      </c>
      <c r="B13" s="205"/>
      <c r="C13" s="54"/>
      <c r="D13" s="186"/>
      <c r="E13" s="132"/>
      <c r="F13" s="132"/>
      <c r="G13" s="132"/>
      <c r="H13" s="133"/>
      <c r="I13" s="134"/>
      <c r="J13" s="187"/>
      <c r="K13" s="132"/>
      <c r="L13" s="132"/>
      <c r="M13" s="132"/>
      <c r="N13" s="132"/>
      <c r="O13" s="151"/>
      <c r="P13" s="134"/>
      <c r="Q13" s="132"/>
      <c r="R13" s="132"/>
      <c r="S13" s="132"/>
      <c r="T13" s="132"/>
      <c r="U13" s="187"/>
      <c r="V13" s="212"/>
      <c r="W13" s="211"/>
      <c r="X13" s="145"/>
      <c r="Y13" s="132"/>
      <c r="Z13" s="132"/>
      <c r="AA13" s="132"/>
      <c r="AB13" s="187"/>
      <c r="AC13" s="151"/>
      <c r="AD13" s="134"/>
      <c r="AE13" s="132"/>
      <c r="AF13" s="132"/>
      <c r="AG13" s="132"/>
      <c r="AH13" s="132"/>
      <c r="AI13" s="132"/>
      <c r="AJ13" s="135"/>
      <c r="AK13" s="137"/>
      <c r="AL13" s="132"/>
      <c r="AM13" s="22"/>
      <c r="AN13" s="22"/>
      <c r="AO13" s="24"/>
      <c r="AQ13" s="229">
        <v>12</v>
      </c>
      <c r="AR13" s="230"/>
      <c r="AS13" s="231"/>
      <c r="AT13" s="230"/>
      <c r="AU13" s="230"/>
      <c r="BI13" s="215" t="e">
        <f t="shared" si="0"/>
        <v>#N/A</v>
      </c>
      <c r="BJ13" s="215" t="e">
        <f t="shared" si="1"/>
        <v>#REF!</v>
      </c>
      <c r="BK13" s="215" t="e">
        <f t="shared" si="2"/>
        <v>#N/A</v>
      </c>
      <c r="BL13" s="215" t="e">
        <f t="shared" si="5"/>
        <v>#N/A</v>
      </c>
      <c r="BN13" s="215" t="e">
        <f t="shared" si="4"/>
        <v>#REF!</v>
      </c>
      <c r="BO13" s="215">
        <v>12</v>
      </c>
      <c r="BP13" s="217">
        <v>36.450000000000003</v>
      </c>
      <c r="BQ13" s="269" t="s">
        <v>136</v>
      </c>
    </row>
    <row r="14" spans="1:69" ht="12" customHeight="1">
      <c r="A14" s="208">
        <v>36.85</v>
      </c>
      <c r="B14" s="100"/>
      <c r="C14" s="18"/>
      <c r="D14" s="18"/>
      <c r="E14" s="138"/>
      <c r="F14" s="138"/>
      <c r="G14" s="138"/>
      <c r="H14" s="139"/>
      <c r="I14" s="140"/>
      <c r="J14" s="138"/>
      <c r="K14" s="138"/>
      <c r="L14" s="138"/>
      <c r="M14" s="138"/>
      <c r="N14" s="138"/>
      <c r="O14" s="202"/>
      <c r="P14" s="154"/>
      <c r="Q14" s="144"/>
      <c r="R14" s="144"/>
      <c r="S14" s="138"/>
      <c r="T14" s="138"/>
      <c r="U14" s="138"/>
      <c r="V14" s="151"/>
      <c r="W14" s="134"/>
      <c r="X14" s="138"/>
      <c r="Y14" s="132"/>
      <c r="Z14" s="138"/>
      <c r="AA14" s="138"/>
      <c r="AB14" s="138"/>
      <c r="AC14" s="151"/>
      <c r="AD14" s="134"/>
      <c r="AE14" s="138"/>
      <c r="AF14" s="138"/>
      <c r="AG14" s="138"/>
      <c r="AH14" s="138"/>
      <c r="AI14" s="138"/>
      <c r="AJ14" s="141"/>
      <c r="AK14" s="143"/>
      <c r="AL14" s="138"/>
      <c r="AM14" s="18"/>
      <c r="AN14" s="18"/>
      <c r="AO14" s="20"/>
      <c r="AQ14" s="229">
        <v>13</v>
      </c>
      <c r="AR14" s="230"/>
      <c r="AS14" s="231"/>
      <c r="AT14" s="230"/>
      <c r="AU14" s="230"/>
      <c r="BI14" s="215" t="e">
        <f t="shared" si="0"/>
        <v>#N/A</v>
      </c>
      <c r="BJ14" s="215" t="e">
        <f t="shared" si="1"/>
        <v>#REF!</v>
      </c>
      <c r="BK14" s="215" t="e">
        <f t="shared" si="2"/>
        <v>#N/A</v>
      </c>
      <c r="BL14" s="215" t="e">
        <f t="shared" si="5"/>
        <v>#N/A</v>
      </c>
      <c r="BM14" s="215" t="s">
        <v>73</v>
      </c>
      <c r="BN14" s="215" t="e">
        <f t="shared" si="4"/>
        <v>#REF!</v>
      </c>
      <c r="BO14" s="215">
        <v>13</v>
      </c>
      <c r="BP14" s="217">
        <v>36.5</v>
      </c>
      <c r="BQ14" s="269" t="s">
        <v>137</v>
      </c>
    </row>
    <row r="15" spans="1:69" ht="12" customHeight="1" thickBot="1">
      <c r="A15" s="207">
        <v>36.799999999999997</v>
      </c>
      <c r="B15" s="203"/>
      <c r="C15" s="22"/>
      <c r="D15" s="54"/>
      <c r="E15" s="132"/>
      <c r="F15" s="132"/>
      <c r="G15" s="132"/>
      <c r="H15" s="133"/>
      <c r="I15" s="134"/>
      <c r="J15" s="132"/>
      <c r="K15" s="132"/>
      <c r="L15" s="187"/>
      <c r="M15" s="132"/>
      <c r="N15" s="145"/>
      <c r="O15" s="212"/>
      <c r="P15" s="211"/>
      <c r="Q15" s="145"/>
      <c r="R15" s="132"/>
      <c r="S15" s="135"/>
      <c r="T15" s="148"/>
      <c r="U15" s="134"/>
      <c r="V15" s="151"/>
      <c r="W15" s="134"/>
      <c r="X15" s="132"/>
      <c r="Y15" s="187"/>
      <c r="Z15" s="132"/>
      <c r="AA15" s="132"/>
      <c r="AB15" s="132"/>
      <c r="AC15" s="151"/>
      <c r="AD15" s="134"/>
      <c r="AE15" s="132"/>
      <c r="AF15" s="132"/>
      <c r="AG15" s="132"/>
      <c r="AH15" s="132"/>
      <c r="AI15" s="132"/>
      <c r="AJ15" s="135"/>
      <c r="AK15" s="137"/>
      <c r="AL15" s="132"/>
      <c r="AM15" s="22"/>
      <c r="AN15" s="22"/>
      <c r="AO15" s="24"/>
      <c r="AQ15" s="229">
        <v>14</v>
      </c>
      <c r="AR15" s="230"/>
      <c r="AS15" s="231"/>
      <c r="AT15" s="230"/>
      <c r="AU15" s="230"/>
      <c r="BI15" s="215" t="e">
        <f t="shared" si="0"/>
        <v>#N/A</v>
      </c>
      <c r="BJ15" s="215" t="e">
        <f t="shared" si="1"/>
        <v>#REF!</v>
      </c>
      <c r="BK15" s="215" t="e">
        <f t="shared" si="2"/>
        <v>#N/A</v>
      </c>
      <c r="BL15" s="215" t="e">
        <f t="shared" si="5"/>
        <v>#N/A</v>
      </c>
      <c r="BM15" s="215" t="s">
        <v>74</v>
      </c>
      <c r="BN15" s="215" t="e">
        <f t="shared" si="4"/>
        <v>#REF!</v>
      </c>
      <c r="BO15" s="215">
        <v>14</v>
      </c>
      <c r="BP15" s="217">
        <v>36.550000000000097</v>
      </c>
      <c r="BQ15" s="269" t="s">
        <v>138</v>
      </c>
    </row>
    <row r="16" spans="1:69" ht="12" customHeight="1">
      <c r="A16" s="208">
        <v>36.75</v>
      </c>
      <c r="B16" s="100"/>
      <c r="C16" s="18"/>
      <c r="D16" s="18"/>
      <c r="E16" s="132"/>
      <c r="F16" s="138"/>
      <c r="G16" s="138"/>
      <c r="H16" s="139"/>
      <c r="I16" s="140"/>
      <c r="J16" s="138"/>
      <c r="K16" s="138"/>
      <c r="L16" s="138"/>
      <c r="M16" s="138"/>
      <c r="N16" s="138"/>
      <c r="O16" s="202"/>
      <c r="P16" s="154"/>
      <c r="Q16" s="138"/>
      <c r="R16" s="144"/>
      <c r="S16" s="138"/>
      <c r="T16" s="149"/>
      <c r="U16" s="138"/>
      <c r="V16" s="201"/>
      <c r="W16" s="134"/>
      <c r="X16" s="150"/>
      <c r="Y16" s="138"/>
      <c r="Z16" s="132"/>
      <c r="AA16" s="132"/>
      <c r="AB16" s="138"/>
      <c r="AC16" s="201"/>
      <c r="AD16" s="140"/>
      <c r="AE16" s="132"/>
      <c r="AF16" s="138"/>
      <c r="AG16" s="138"/>
      <c r="AH16" s="138"/>
      <c r="AI16" s="138"/>
      <c r="AJ16" s="141"/>
      <c r="AK16" s="143"/>
      <c r="AL16" s="138"/>
      <c r="AM16" s="18"/>
      <c r="AN16" s="18"/>
      <c r="AO16" s="20"/>
      <c r="AQ16" s="229">
        <v>15</v>
      </c>
      <c r="AR16" s="230"/>
      <c r="AS16" s="231"/>
      <c r="AT16" s="230"/>
      <c r="AU16" s="230"/>
      <c r="AW16" s="232"/>
      <c r="BI16" s="215" t="e">
        <f t="shared" si="0"/>
        <v>#N/A</v>
      </c>
      <c r="BJ16" s="215" t="e">
        <f t="shared" si="1"/>
        <v>#REF!</v>
      </c>
      <c r="BK16" s="215" t="e">
        <f t="shared" si="2"/>
        <v>#N/A</v>
      </c>
      <c r="BL16" s="215" t="e">
        <f t="shared" si="5"/>
        <v>#N/A</v>
      </c>
      <c r="BM16" s="215" t="s">
        <v>75</v>
      </c>
      <c r="BN16" s="215" t="e">
        <f t="shared" si="4"/>
        <v>#REF!</v>
      </c>
      <c r="BO16" s="215">
        <v>15</v>
      </c>
      <c r="BP16" s="217">
        <v>36.600000000000101</v>
      </c>
      <c r="BQ16" s="269" t="s">
        <v>139</v>
      </c>
    </row>
    <row r="17" spans="1:69" ht="12" customHeight="1" thickBot="1">
      <c r="A17" s="207">
        <v>36.700000000000003</v>
      </c>
      <c r="B17" s="134"/>
      <c r="C17" s="187"/>
      <c r="D17" s="132"/>
      <c r="F17" s="132"/>
      <c r="G17" s="132"/>
      <c r="H17" s="133"/>
      <c r="I17" s="132"/>
      <c r="J17" s="132"/>
      <c r="K17" s="187"/>
      <c r="L17" s="132"/>
      <c r="M17" s="132"/>
      <c r="N17" s="132"/>
      <c r="O17" s="151"/>
      <c r="P17" s="134"/>
      <c r="Q17" s="132"/>
      <c r="R17" s="138"/>
      <c r="S17" s="132"/>
      <c r="T17" s="132"/>
      <c r="U17" s="132"/>
      <c r="V17" s="200"/>
      <c r="W17" s="134"/>
      <c r="X17" s="132"/>
      <c r="Y17" s="132"/>
      <c r="Z17" s="132"/>
      <c r="AA17" s="132"/>
      <c r="AB17" s="132"/>
      <c r="AC17" s="151"/>
      <c r="AD17" s="134"/>
      <c r="AE17" s="187"/>
      <c r="AF17" s="132"/>
      <c r="AG17" s="132"/>
      <c r="AH17" s="132"/>
      <c r="AI17" s="132"/>
      <c r="AJ17" s="135"/>
      <c r="AK17" s="137"/>
      <c r="AL17" s="132"/>
      <c r="AM17" s="22"/>
      <c r="AN17" s="22"/>
      <c r="AO17" s="24"/>
      <c r="AQ17" s="229">
        <v>16</v>
      </c>
      <c r="AR17" s="230"/>
      <c r="AS17" s="231"/>
      <c r="AT17" s="230"/>
      <c r="AU17" s="230"/>
      <c r="AW17" s="232"/>
      <c r="BI17" s="215" t="e">
        <f t="shared" si="0"/>
        <v>#N/A</v>
      </c>
      <c r="BJ17" s="215" t="e">
        <f t="shared" si="1"/>
        <v>#REF!</v>
      </c>
      <c r="BK17" s="215" t="e">
        <f t="shared" si="2"/>
        <v>#N/A</v>
      </c>
      <c r="BL17" s="215" t="e">
        <f t="shared" si="5"/>
        <v>#N/A</v>
      </c>
      <c r="BM17" s="215" t="s">
        <v>76</v>
      </c>
      <c r="BN17" s="215" t="e">
        <f t="shared" si="4"/>
        <v>#REF!</v>
      </c>
      <c r="BO17" s="215">
        <v>16</v>
      </c>
      <c r="BP17" s="217">
        <v>36.65</v>
      </c>
      <c r="BQ17" s="269" t="s">
        <v>140</v>
      </c>
    </row>
    <row r="18" spans="1:69" ht="12" customHeight="1">
      <c r="A18" s="208">
        <v>36.65</v>
      </c>
      <c r="B18" s="100"/>
      <c r="C18" s="18"/>
      <c r="D18" s="18"/>
      <c r="E18" s="18"/>
      <c r="F18" s="138"/>
      <c r="G18" s="138"/>
      <c r="H18" s="139"/>
      <c r="I18" s="140"/>
      <c r="J18" s="138"/>
      <c r="K18" s="138"/>
      <c r="L18" s="138"/>
      <c r="M18" s="138"/>
      <c r="N18" s="132"/>
      <c r="O18" s="151"/>
      <c r="P18" s="134"/>
      <c r="Q18" s="138"/>
      <c r="R18" s="138"/>
      <c r="S18" s="138"/>
      <c r="T18" s="138"/>
      <c r="U18" s="138"/>
      <c r="V18" s="201"/>
      <c r="W18" s="140"/>
      <c r="X18" s="138"/>
      <c r="Y18" s="138"/>
      <c r="Z18" s="138"/>
      <c r="AA18" s="138"/>
      <c r="AB18" s="138"/>
      <c r="AC18" s="201"/>
      <c r="AD18" s="140"/>
      <c r="AE18" s="138"/>
      <c r="AF18" s="138"/>
      <c r="AG18" s="138"/>
      <c r="AH18" s="138"/>
      <c r="AI18" s="132"/>
      <c r="AJ18" s="141"/>
      <c r="AK18" s="143"/>
      <c r="AL18" s="138"/>
      <c r="AM18" s="18"/>
      <c r="AN18" s="18"/>
      <c r="AO18" s="20"/>
      <c r="AQ18" s="229">
        <v>17</v>
      </c>
      <c r="AR18" s="230"/>
      <c r="AS18" s="231"/>
      <c r="AT18" s="230"/>
      <c r="AU18" s="230"/>
      <c r="BI18" s="215" t="e">
        <f t="shared" si="0"/>
        <v>#N/A</v>
      </c>
      <c r="BJ18" s="215" t="e">
        <f t="shared" si="1"/>
        <v>#REF!</v>
      </c>
      <c r="BK18" s="215" t="e">
        <f t="shared" si="2"/>
        <v>#N/A</v>
      </c>
      <c r="BL18" s="215" t="e">
        <f t="shared" si="5"/>
        <v>#N/A</v>
      </c>
      <c r="BM18" s="215" t="s">
        <v>77</v>
      </c>
      <c r="BN18" s="215" t="e">
        <f t="shared" si="4"/>
        <v>#REF!</v>
      </c>
      <c r="BO18" s="215">
        <v>17</v>
      </c>
      <c r="BP18" s="217">
        <v>36.700000000000003</v>
      </c>
      <c r="BQ18" s="269" t="s">
        <v>141</v>
      </c>
    </row>
    <row r="19" spans="1:69" ht="12" customHeight="1" thickBot="1">
      <c r="A19" s="207">
        <v>36.6</v>
      </c>
      <c r="B19" s="132"/>
      <c r="C19" s="132"/>
      <c r="D19" s="132"/>
      <c r="E19" s="187"/>
      <c r="F19" s="132"/>
      <c r="G19" s="187"/>
      <c r="H19" s="151"/>
      <c r="I19" s="132"/>
      <c r="J19" s="132"/>
      <c r="K19" s="132"/>
      <c r="L19" s="132"/>
      <c r="M19" s="132"/>
      <c r="N19" s="132"/>
      <c r="O19" s="151"/>
      <c r="P19" s="134"/>
      <c r="Q19" s="132"/>
      <c r="R19" s="132"/>
      <c r="S19" s="132"/>
      <c r="T19" s="132"/>
      <c r="U19" s="132"/>
      <c r="V19" s="151"/>
      <c r="W19" s="203"/>
      <c r="X19" s="132"/>
      <c r="Y19" s="132"/>
      <c r="Z19" s="132"/>
      <c r="AA19" s="132"/>
      <c r="AB19" s="132"/>
      <c r="AC19" s="151"/>
      <c r="AD19" s="203"/>
      <c r="AE19" s="132"/>
      <c r="AF19" s="132"/>
      <c r="AG19" s="187"/>
      <c r="AH19" s="132"/>
      <c r="AI19" s="132"/>
      <c r="AJ19" s="187"/>
      <c r="AK19" s="137"/>
      <c r="AL19" s="132"/>
      <c r="AM19" s="22"/>
      <c r="AN19" s="22"/>
      <c r="AO19" s="24"/>
      <c r="AQ19" s="229">
        <v>18</v>
      </c>
      <c r="AR19" s="230"/>
      <c r="AS19" s="231"/>
      <c r="AT19" s="230"/>
      <c r="AU19" s="233"/>
      <c r="BI19" s="215" t="e">
        <f t="shared" si="0"/>
        <v>#N/A</v>
      </c>
      <c r="BJ19" s="215" t="e">
        <f t="shared" si="1"/>
        <v>#REF!</v>
      </c>
      <c r="BK19" s="215" t="e">
        <f t="shared" si="2"/>
        <v>#N/A</v>
      </c>
      <c r="BL19" s="215" t="e">
        <f t="shared" si="5"/>
        <v>#N/A</v>
      </c>
      <c r="BM19" s="215" t="s">
        <v>78</v>
      </c>
      <c r="BN19" s="215" t="e">
        <f t="shared" si="4"/>
        <v>#REF!</v>
      </c>
      <c r="BO19" s="215">
        <v>18</v>
      </c>
      <c r="BP19" s="217">
        <v>36.75</v>
      </c>
      <c r="BQ19" s="269" t="s">
        <v>142</v>
      </c>
    </row>
    <row r="20" spans="1:69" ht="12" customHeight="1">
      <c r="A20" s="208">
        <v>36.549999999999997</v>
      </c>
      <c r="B20" s="100"/>
      <c r="C20" s="134"/>
      <c r="D20" s="18"/>
      <c r="E20" s="134"/>
      <c r="F20" s="138"/>
      <c r="G20" s="138"/>
      <c r="H20" s="201"/>
      <c r="I20" s="140"/>
      <c r="J20" s="132"/>
      <c r="K20" s="132"/>
      <c r="L20" s="138"/>
      <c r="M20" s="138"/>
      <c r="N20" s="138"/>
      <c r="O20" s="151"/>
      <c r="P20" s="204"/>
      <c r="Q20" s="138"/>
      <c r="R20" s="132"/>
      <c r="S20" s="132"/>
      <c r="T20" s="132"/>
      <c r="U20" s="138"/>
      <c r="V20" s="151"/>
      <c r="W20" s="134"/>
      <c r="X20" s="138"/>
      <c r="Y20" s="138"/>
      <c r="Z20" s="138"/>
      <c r="AA20" s="138"/>
      <c r="AB20" s="138"/>
      <c r="AC20" s="201"/>
      <c r="AD20" s="140"/>
      <c r="AE20" s="138"/>
      <c r="AF20" s="138"/>
      <c r="AG20" s="138"/>
      <c r="AH20" s="138"/>
      <c r="AI20" s="138"/>
      <c r="AJ20" s="141"/>
      <c r="AK20" s="143"/>
      <c r="AL20" s="138"/>
      <c r="AM20" s="18"/>
      <c r="AN20" s="18"/>
      <c r="AO20" s="20"/>
      <c r="AQ20" s="229">
        <v>19</v>
      </c>
      <c r="AR20" s="230"/>
      <c r="AS20" s="231"/>
      <c r="AT20" s="230"/>
      <c r="AU20" s="230"/>
      <c r="BI20" s="215" t="e">
        <f t="shared" si="0"/>
        <v>#N/A</v>
      </c>
      <c r="BJ20" s="215" t="e">
        <f t="shared" si="1"/>
        <v>#REF!</v>
      </c>
      <c r="BK20" s="215" t="e">
        <f t="shared" si="2"/>
        <v>#N/A</v>
      </c>
      <c r="BL20" s="215" t="e">
        <f t="shared" si="5"/>
        <v>#N/A</v>
      </c>
      <c r="BM20" s="215" t="s">
        <v>79</v>
      </c>
      <c r="BN20" s="215" t="e">
        <f t="shared" si="4"/>
        <v>#REF!</v>
      </c>
      <c r="BO20" s="215">
        <v>19</v>
      </c>
      <c r="BP20" s="217">
        <v>36.799999999999997</v>
      </c>
      <c r="BQ20" s="269" t="s">
        <v>143</v>
      </c>
    </row>
    <row r="21" spans="1:69" ht="12" customHeight="1" thickBot="1">
      <c r="A21" s="207">
        <v>36.5</v>
      </c>
      <c r="B21" s="101"/>
      <c r="C21" s="22"/>
      <c r="D21" s="18"/>
      <c r="E21" s="134"/>
      <c r="F21" s="187"/>
      <c r="G21" s="132"/>
      <c r="H21" s="151"/>
      <c r="I21" s="134"/>
      <c r="J21" s="132"/>
      <c r="K21" s="132"/>
      <c r="L21" s="132"/>
      <c r="M21" s="132"/>
      <c r="N21" s="132"/>
      <c r="O21" s="200"/>
      <c r="P21" s="134"/>
      <c r="Q21" s="132"/>
      <c r="R21" s="132"/>
      <c r="S21" s="187"/>
      <c r="T21" s="132"/>
      <c r="U21" s="132"/>
      <c r="V21" s="151"/>
      <c r="W21" s="134"/>
      <c r="X21" s="132"/>
      <c r="Y21" s="132"/>
      <c r="Z21" s="132"/>
      <c r="AA21" s="132"/>
      <c r="AB21" s="132"/>
      <c r="AC21" s="151"/>
      <c r="AD21" s="134"/>
      <c r="AE21" s="132"/>
      <c r="AF21" s="132"/>
      <c r="AG21" s="132"/>
      <c r="AH21" s="187"/>
      <c r="AI21" s="187"/>
      <c r="AJ21" s="135"/>
      <c r="AK21" s="137"/>
      <c r="AL21" s="132"/>
      <c r="AM21" s="22"/>
      <c r="AN21" s="22"/>
      <c r="AO21" s="24"/>
      <c r="AQ21" s="229">
        <v>20</v>
      </c>
      <c r="AR21" s="230"/>
      <c r="AS21" s="231"/>
      <c r="AT21" s="230"/>
      <c r="AU21" s="230"/>
      <c r="BI21" s="215" t="e">
        <f t="shared" si="0"/>
        <v>#N/A</v>
      </c>
      <c r="BJ21" s="215" t="e">
        <f t="shared" si="1"/>
        <v>#REF!</v>
      </c>
      <c r="BK21" s="215" t="e">
        <f t="shared" si="2"/>
        <v>#N/A</v>
      </c>
      <c r="BL21" s="215" t="e">
        <f t="shared" si="5"/>
        <v>#N/A</v>
      </c>
      <c r="BM21" s="215" t="s">
        <v>80</v>
      </c>
      <c r="BN21" s="215" t="e">
        <f t="shared" si="4"/>
        <v>#REF!</v>
      </c>
      <c r="BO21" s="215">
        <v>20</v>
      </c>
      <c r="BP21" s="217">
        <v>36.85</v>
      </c>
      <c r="BQ21" s="269" t="s">
        <v>144</v>
      </c>
    </row>
    <row r="22" spans="1:69" ht="12" customHeight="1">
      <c r="A22" s="208">
        <v>36.450000000000003</v>
      </c>
      <c r="B22" s="100"/>
      <c r="C22" s="18"/>
      <c r="D22" s="22"/>
      <c r="E22" s="132"/>
      <c r="F22" s="138"/>
      <c r="G22" s="132"/>
      <c r="H22" s="201"/>
      <c r="I22" s="140"/>
      <c r="J22" s="138"/>
      <c r="K22" s="138"/>
      <c r="L22" s="138"/>
      <c r="M22" s="138"/>
      <c r="N22" s="138"/>
      <c r="O22" s="201"/>
      <c r="P22" s="134"/>
      <c r="Q22" s="144"/>
      <c r="R22" s="144"/>
      <c r="S22" s="132"/>
      <c r="T22" s="132"/>
      <c r="U22" s="144"/>
      <c r="V22" s="201"/>
      <c r="W22" s="140"/>
      <c r="X22" s="138"/>
      <c r="Y22" s="138"/>
      <c r="Z22" s="138"/>
      <c r="AA22" s="138"/>
      <c r="AB22" s="138"/>
      <c r="AC22" s="151"/>
      <c r="AD22" s="140"/>
      <c r="AE22" s="138"/>
      <c r="AF22" s="138"/>
      <c r="AG22" s="138"/>
      <c r="AH22" s="138"/>
      <c r="AI22" s="138"/>
      <c r="AJ22" s="141"/>
      <c r="AK22" s="143"/>
      <c r="AL22" s="138"/>
      <c r="AM22" s="18"/>
      <c r="AN22" s="18"/>
      <c r="AO22" s="20"/>
      <c r="AP22" s="111"/>
      <c r="AQ22" s="229">
        <v>21</v>
      </c>
      <c r="AR22" s="230"/>
      <c r="AS22" s="231"/>
      <c r="AT22" s="230"/>
      <c r="AU22" s="230"/>
      <c r="AW22" s="234"/>
      <c r="BI22" s="215" t="e">
        <f t="shared" si="0"/>
        <v>#N/A</v>
      </c>
      <c r="BJ22" s="215" t="e">
        <f t="shared" si="1"/>
        <v>#REF!</v>
      </c>
      <c r="BK22" s="215" t="e">
        <f t="shared" si="2"/>
        <v>#N/A</v>
      </c>
      <c r="BL22" s="215" t="e">
        <f t="shared" si="5"/>
        <v>#N/A</v>
      </c>
      <c r="BM22" s="215" t="s">
        <v>81</v>
      </c>
      <c r="BN22" s="215" t="e">
        <f t="shared" si="4"/>
        <v>#REF!</v>
      </c>
      <c r="BO22" s="215">
        <v>21</v>
      </c>
      <c r="BP22" s="217">
        <v>36.9</v>
      </c>
      <c r="BQ22" s="269" t="s">
        <v>145</v>
      </c>
    </row>
    <row r="23" spans="1:69" ht="12" customHeight="1" thickBot="1">
      <c r="A23" s="207">
        <v>36.4</v>
      </c>
      <c r="B23" s="101"/>
      <c r="C23" s="22"/>
      <c r="D23" s="134"/>
      <c r="E23" s="132"/>
      <c r="F23" s="132"/>
      <c r="G23" s="132"/>
      <c r="H23" s="151"/>
      <c r="I23" s="134"/>
      <c r="J23" s="132"/>
      <c r="K23" s="132"/>
      <c r="L23" s="132"/>
      <c r="M23" s="132"/>
      <c r="N23" s="132"/>
      <c r="O23" s="151"/>
      <c r="P23" s="134"/>
      <c r="Q23" s="132"/>
      <c r="R23" s="187"/>
      <c r="S23" s="132"/>
      <c r="T23" s="132"/>
      <c r="U23" s="132"/>
      <c r="V23" s="151"/>
      <c r="W23" s="134"/>
      <c r="X23" s="132"/>
      <c r="Y23" s="132"/>
      <c r="Z23" s="132"/>
      <c r="AA23" s="132"/>
      <c r="AB23" s="132"/>
      <c r="AC23" s="133"/>
      <c r="AD23" s="134"/>
      <c r="AE23" s="132"/>
      <c r="AF23" s="152"/>
      <c r="AG23" s="132"/>
      <c r="AH23" s="132"/>
      <c r="AI23" s="132"/>
      <c r="AJ23" s="146"/>
      <c r="AK23" s="137"/>
      <c r="AL23" s="132"/>
      <c r="AM23" s="22"/>
      <c r="AN23" s="22"/>
      <c r="AO23" s="24"/>
      <c r="AP23" s="12"/>
      <c r="AQ23" s="229">
        <v>22</v>
      </c>
      <c r="AR23" s="230"/>
      <c r="AS23" s="231"/>
      <c r="AT23" s="230"/>
      <c r="AU23" s="230"/>
      <c r="BI23" s="215" t="e">
        <f t="shared" si="0"/>
        <v>#N/A</v>
      </c>
      <c r="BJ23" s="215" t="e">
        <f t="shared" si="1"/>
        <v>#REF!</v>
      </c>
      <c r="BK23" s="215" t="e">
        <f t="shared" si="2"/>
        <v>#N/A</v>
      </c>
      <c r="BL23" s="215" t="e">
        <f t="shared" si="5"/>
        <v>#N/A</v>
      </c>
      <c r="BM23" s="215" t="s">
        <v>82</v>
      </c>
      <c r="BN23" s="215" t="e">
        <f t="shared" si="4"/>
        <v>#REF!</v>
      </c>
      <c r="BO23" s="215">
        <v>22</v>
      </c>
      <c r="BP23" s="217">
        <v>36.950000000000003</v>
      </c>
      <c r="BQ23" s="269" t="s">
        <v>146</v>
      </c>
    </row>
    <row r="24" spans="1:69" ht="12" customHeight="1">
      <c r="A24" s="208">
        <v>36.35</v>
      </c>
      <c r="B24" s="100"/>
      <c r="C24" s="18"/>
      <c r="D24" s="132"/>
      <c r="E24" s="132"/>
      <c r="F24" s="134"/>
      <c r="G24" s="134"/>
      <c r="H24" s="151"/>
      <c r="I24" s="134"/>
      <c r="J24" s="138"/>
      <c r="K24" s="138"/>
      <c r="L24" s="138"/>
      <c r="M24" s="138"/>
      <c r="N24" s="138"/>
      <c r="O24" s="201"/>
      <c r="P24" s="154"/>
      <c r="Q24" s="132"/>
      <c r="R24" s="144"/>
      <c r="S24" s="132"/>
      <c r="T24" s="144"/>
      <c r="U24" s="144"/>
      <c r="V24" s="212"/>
      <c r="W24" s="140"/>
      <c r="X24" s="138"/>
      <c r="Y24" s="138"/>
      <c r="Z24" s="138"/>
      <c r="AA24" s="138"/>
      <c r="AB24" s="138"/>
      <c r="AC24" s="139"/>
      <c r="AD24" s="140"/>
      <c r="AE24" s="138"/>
      <c r="AF24" s="138"/>
      <c r="AG24" s="138"/>
      <c r="AH24" s="138"/>
      <c r="AI24" s="138"/>
      <c r="AJ24" s="141"/>
      <c r="AK24" s="143"/>
      <c r="AL24" s="138"/>
      <c r="AM24" s="18"/>
      <c r="AN24" s="18"/>
      <c r="AO24" s="20"/>
      <c r="AQ24" s="229">
        <v>23</v>
      </c>
      <c r="AR24" s="230"/>
      <c r="AS24" s="231"/>
      <c r="AT24" s="230"/>
      <c r="AU24" s="230"/>
      <c r="BI24" s="215" t="e">
        <f t="shared" si="0"/>
        <v>#N/A</v>
      </c>
      <c r="BJ24" s="215" t="e">
        <f t="shared" si="1"/>
        <v>#REF!</v>
      </c>
      <c r="BK24" s="215" t="e">
        <f t="shared" si="2"/>
        <v>#N/A</v>
      </c>
      <c r="BL24" s="215" t="e">
        <f t="shared" si="5"/>
        <v>#N/A</v>
      </c>
      <c r="BM24" s="215" t="s">
        <v>83</v>
      </c>
      <c r="BN24" s="215" t="e">
        <f t="shared" si="4"/>
        <v>#REF!</v>
      </c>
      <c r="BO24" s="215">
        <v>23</v>
      </c>
      <c r="BP24" s="217">
        <v>37</v>
      </c>
      <c r="BQ24" s="269" t="s">
        <v>147</v>
      </c>
    </row>
    <row r="25" spans="1:69" ht="12" customHeight="1" thickBot="1">
      <c r="A25" s="207">
        <v>36.299999999999997</v>
      </c>
      <c r="B25" s="101"/>
      <c r="C25" s="22"/>
      <c r="D25" s="22"/>
      <c r="E25" s="132"/>
      <c r="F25" s="132"/>
      <c r="G25" s="132"/>
      <c r="H25" s="151"/>
      <c r="I25" s="134"/>
      <c r="J25" s="132"/>
      <c r="K25" s="132"/>
      <c r="L25" s="132"/>
      <c r="M25" s="132"/>
      <c r="N25" s="132"/>
      <c r="O25" s="151"/>
      <c r="P25" s="134"/>
      <c r="Q25" s="132"/>
      <c r="R25" s="132"/>
      <c r="S25" s="132"/>
      <c r="T25" s="132"/>
      <c r="U25" s="132"/>
      <c r="V25" s="135"/>
      <c r="W25" s="136"/>
      <c r="X25" s="132"/>
      <c r="Y25" s="132"/>
      <c r="Z25" s="132"/>
      <c r="AA25" s="132"/>
      <c r="AB25" s="132"/>
      <c r="AC25" s="133"/>
      <c r="AD25" s="134"/>
      <c r="AE25" s="132"/>
      <c r="AF25" s="132"/>
      <c r="AG25" s="132"/>
      <c r="AH25" s="132"/>
      <c r="AI25" s="152"/>
      <c r="AJ25" s="135"/>
      <c r="AK25" s="137"/>
      <c r="AL25" s="132"/>
      <c r="AM25" s="22"/>
      <c r="AN25" s="22"/>
      <c r="AO25" s="24"/>
      <c r="AQ25" s="229">
        <v>24</v>
      </c>
      <c r="AR25" s="230"/>
      <c r="AS25" s="231"/>
      <c r="AT25" s="230"/>
      <c r="AU25" s="230"/>
      <c r="BI25" s="215" t="e">
        <f t="shared" si="0"/>
        <v>#N/A</v>
      </c>
      <c r="BJ25" s="215" t="e">
        <f t="shared" si="1"/>
        <v>#REF!</v>
      </c>
      <c r="BK25" s="215" t="e">
        <f t="shared" si="2"/>
        <v>#N/A</v>
      </c>
      <c r="BL25" s="215" t="e">
        <f t="shared" si="5"/>
        <v>#N/A</v>
      </c>
      <c r="BM25" s="215" t="s">
        <v>84</v>
      </c>
      <c r="BN25" s="215" t="e">
        <f t="shared" si="4"/>
        <v>#REF!</v>
      </c>
      <c r="BO25" s="215">
        <v>24</v>
      </c>
      <c r="BP25" s="217">
        <v>37.049999999999997</v>
      </c>
      <c r="BQ25" s="269" t="s">
        <v>148</v>
      </c>
    </row>
    <row r="26" spans="1:69" ht="12" customHeight="1">
      <c r="A26" s="208">
        <v>36.25</v>
      </c>
      <c r="B26" s="100"/>
      <c r="C26" s="18"/>
      <c r="D26" s="18"/>
      <c r="E26" s="153"/>
      <c r="F26" s="138"/>
      <c r="G26" s="138"/>
      <c r="H26" s="202"/>
      <c r="I26" s="134"/>
      <c r="J26" s="132"/>
      <c r="K26" s="144"/>
      <c r="L26" s="132"/>
      <c r="M26" s="144"/>
      <c r="N26" s="144"/>
      <c r="O26" s="201"/>
      <c r="P26" s="140"/>
      <c r="Q26" s="138"/>
      <c r="R26" s="132"/>
      <c r="S26" s="138"/>
      <c r="T26" s="138"/>
      <c r="U26" s="138"/>
      <c r="V26" s="141"/>
      <c r="W26" s="142"/>
      <c r="X26" s="138"/>
      <c r="Y26" s="138"/>
      <c r="Z26" s="138"/>
      <c r="AA26" s="138"/>
      <c r="AB26" s="138"/>
      <c r="AC26" s="139"/>
      <c r="AD26" s="140"/>
      <c r="AE26" s="138"/>
      <c r="AF26" s="138"/>
      <c r="AG26" s="138"/>
      <c r="AH26" s="138"/>
      <c r="AI26" s="138"/>
      <c r="AJ26" s="141"/>
      <c r="AK26" s="143"/>
      <c r="AL26" s="138"/>
      <c r="AM26" s="18"/>
      <c r="AN26" s="18"/>
      <c r="AO26" s="20"/>
      <c r="AQ26" s="229">
        <v>25</v>
      </c>
      <c r="AR26" s="230"/>
      <c r="AS26" s="231"/>
      <c r="AT26" s="230"/>
      <c r="AU26" s="230"/>
      <c r="BI26" s="215" t="e">
        <f t="shared" si="0"/>
        <v>#N/A</v>
      </c>
      <c r="BJ26" s="215" t="e">
        <f t="shared" si="1"/>
        <v>#REF!</v>
      </c>
      <c r="BK26" s="215" t="e">
        <f t="shared" si="2"/>
        <v>#N/A</v>
      </c>
      <c r="BL26" s="215" t="e">
        <f t="shared" si="5"/>
        <v>#N/A</v>
      </c>
      <c r="BM26" s="215" t="s">
        <v>85</v>
      </c>
      <c r="BN26" s="215" t="e">
        <f t="shared" si="4"/>
        <v>#REF!</v>
      </c>
      <c r="BO26" s="215">
        <v>25</v>
      </c>
      <c r="BP26" s="217">
        <v>37.1</v>
      </c>
      <c r="BQ26" s="269" t="s">
        <v>149</v>
      </c>
    </row>
    <row r="27" spans="1:69" ht="12" customHeight="1" thickBot="1">
      <c r="A27" s="207" t="s">
        <v>34</v>
      </c>
      <c r="B27" s="101"/>
      <c r="C27" s="22"/>
      <c r="D27" s="22"/>
      <c r="E27" s="132"/>
      <c r="F27" s="132"/>
      <c r="G27" s="132"/>
      <c r="H27" s="151"/>
      <c r="I27" s="134"/>
      <c r="J27" s="132"/>
      <c r="K27" s="132"/>
      <c r="L27" s="132"/>
      <c r="M27" s="132"/>
      <c r="N27" s="132"/>
      <c r="O27" s="151"/>
      <c r="P27" s="134"/>
      <c r="Q27" s="132"/>
      <c r="R27" s="132"/>
      <c r="S27" s="145"/>
      <c r="T27" s="145"/>
      <c r="U27" s="145"/>
      <c r="V27" s="146"/>
      <c r="W27" s="147"/>
      <c r="X27" s="132"/>
      <c r="Y27" s="132"/>
      <c r="Z27" s="132"/>
      <c r="AA27" s="132"/>
      <c r="AB27" s="132"/>
      <c r="AC27" s="133"/>
      <c r="AD27" s="134"/>
      <c r="AE27" s="132"/>
      <c r="AF27" s="132"/>
      <c r="AG27" s="132"/>
      <c r="AH27" s="132"/>
      <c r="AI27" s="132"/>
      <c r="AJ27" s="135"/>
      <c r="AK27" s="137"/>
      <c r="AL27" s="132"/>
      <c r="AM27" s="22"/>
      <c r="AN27" s="22"/>
      <c r="AO27" s="24"/>
      <c r="AQ27" s="229">
        <v>26</v>
      </c>
      <c r="AR27" s="230"/>
      <c r="AS27" s="231"/>
      <c r="AT27" s="230"/>
      <c r="AU27" s="230"/>
      <c r="BI27" s="215" t="e">
        <f t="shared" si="0"/>
        <v>#N/A</v>
      </c>
      <c r="BJ27" s="215" t="e">
        <f t="shared" si="1"/>
        <v>#REF!</v>
      </c>
      <c r="BK27" s="215" t="e">
        <f t="shared" si="2"/>
        <v>#N/A</v>
      </c>
      <c r="BL27" s="215" t="e">
        <f t="shared" si="5"/>
        <v>#N/A</v>
      </c>
      <c r="BM27" s="215" t="s">
        <v>21</v>
      </c>
      <c r="BN27" s="215" t="e">
        <f t="shared" si="4"/>
        <v>#REF!</v>
      </c>
      <c r="BO27" s="215">
        <v>26</v>
      </c>
      <c r="BP27" s="217">
        <v>37.15</v>
      </c>
      <c r="BQ27" s="269" t="s">
        <v>150</v>
      </c>
    </row>
    <row r="28" spans="1:69" ht="12" customHeight="1">
      <c r="A28" s="208" t="s">
        <v>35</v>
      </c>
      <c r="B28" s="100"/>
      <c r="C28" s="18"/>
      <c r="D28" s="18"/>
      <c r="E28" s="138"/>
      <c r="F28" s="138"/>
      <c r="G28" s="138"/>
      <c r="H28" s="151"/>
      <c r="I28" s="140"/>
      <c r="J28" s="138"/>
      <c r="K28" s="138"/>
      <c r="L28" s="138"/>
      <c r="M28" s="132"/>
      <c r="N28" s="138"/>
      <c r="O28" s="151"/>
      <c r="P28" s="140"/>
      <c r="Q28" s="132"/>
      <c r="R28" s="132"/>
      <c r="S28" s="138"/>
      <c r="T28" s="138"/>
      <c r="U28" s="138"/>
      <c r="V28" s="141"/>
      <c r="W28" s="142"/>
      <c r="X28" s="138"/>
      <c r="Y28" s="138"/>
      <c r="Z28" s="138"/>
      <c r="AA28" s="138"/>
      <c r="AB28" s="138"/>
      <c r="AC28" s="139"/>
      <c r="AD28" s="140"/>
      <c r="AE28" s="138"/>
      <c r="AF28" s="138"/>
      <c r="AG28" s="138"/>
      <c r="AH28" s="138"/>
      <c r="AI28" s="138"/>
      <c r="AJ28" s="141"/>
      <c r="AK28" s="143"/>
      <c r="AL28" s="138"/>
      <c r="AM28" s="18"/>
      <c r="AN28" s="18"/>
      <c r="AO28" s="20"/>
      <c r="AQ28" s="229">
        <v>27</v>
      </c>
      <c r="AR28" s="230"/>
      <c r="AS28" s="231"/>
      <c r="AT28" s="230"/>
      <c r="AU28" s="230"/>
      <c r="BI28" s="215" t="e">
        <f t="shared" si="0"/>
        <v>#N/A</v>
      </c>
      <c r="BJ28" s="215" t="e">
        <f t="shared" si="1"/>
        <v>#REF!</v>
      </c>
      <c r="BK28" s="215" t="e">
        <f t="shared" si="2"/>
        <v>#N/A</v>
      </c>
      <c r="BL28" s="215" t="e">
        <f t="shared" si="5"/>
        <v>#N/A</v>
      </c>
      <c r="BM28" s="215" t="s">
        <v>86</v>
      </c>
      <c r="BN28" s="215" t="e">
        <f t="shared" si="4"/>
        <v>#REF!</v>
      </c>
      <c r="BO28" s="215">
        <v>27</v>
      </c>
      <c r="BP28" s="217">
        <v>37.200000000000003</v>
      </c>
      <c r="BQ28" s="269" t="s">
        <v>151</v>
      </c>
    </row>
    <row r="29" spans="1:69" ht="12" customHeight="1" thickBot="1">
      <c r="A29" s="207" t="s">
        <v>33</v>
      </c>
      <c r="B29" s="100"/>
      <c r="C29" s="132"/>
      <c r="D29" s="18"/>
      <c r="E29" s="138"/>
      <c r="F29" s="138"/>
      <c r="G29" s="138"/>
      <c r="H29" s="202"/>
      <c r="I29" s="154"/>
      <c r="J29" s="132"/>
      <c r="K29" s="144"/>
      <c r="L29" s="144"/>
      <c r="M29" s="144"/>
      <c r="N29" s="132"/>
      <c r="O29" s="132"/>
      <c r="P29" s="142"/>
      <c r="Q29" s="132"/>
      <c r="R29" s="138"/>
      <c r="S29" s="138"/>
      <c r="T29" s="132"/>
      <c r="U29" s="138"/>
      <c r="V29" s="141"/>
      <c r="W29" s="142"/>
      <c r="X29" s="138"/>
      <c r="Y29" s="138"/>
      <c r="Z29" s="138"/>
      <c r="AA29" s="138"/>
      <c r="AB29" s="138"/>
      <c r="AC29" s="139"/>
      <c r="AD29" s="140"/>
      <c r="AE29" s="138"/>
      <c r="AF29" s="138"/>
      <c r="AG29" s="138"/>
      <c r="AH29" s="138"/>
      <c r="AI29" s="138"/>
      <c r="AJ29" s="141"/>
      <c r="AK29" s="143"/>
      <c r="AL29" s="132"/>
      <c r="AM29" s="18"/>
      <c r="AN29" s="192"/>
      <c r="AO29" s="20"/>
      <c r="AQ29" s="229">
        <v>28</v>
      </c>
      <c r="AR29" s="230"/>
      <c r="AS29" s="231"/>
      <c r="AT29" s="230"/>
      <c r="AU29" s="230"/>
      <c r="BI29" s="215" t="e">
        <f t="shared" si="0"/>
        <v>#N/A</v>
      </c>
      <c r="BJ29" s="215" t="e">
        <f t="shared" si="1"/>
        <v>#REF!</v>
      </c>
      <c r="BK29" s="215" t="e">
        <f t="shared" si="2"/>
        <v>#N/A</v>
      </c>
      <c r="BL29" s="215" t="e">
        <f t="shared" si="5"/>
        <v>#N/A</v>
      </c>
      <c r="BM29" s="215" t="s">
        <v>87</v>
      </c>
      <c r="BN29" s="215" t="e">
        <f t="shared" si="4"/>
        <v>#REF!</v>
      </c>
      <c r="BO29" s="215">
        <v>28</v>
      </c>
      <c r="BP29" s="217">
        <v>37.25</v>
      </c>
      <c r="BQ29" s="269" t="s">
        <v>152</v>
      </c>
    </row>
    <row r="30" spans="1:69" ht="12" customHeight="1">
      <c r="A30" s="55" t="s">
        <v>37</v>
      </c>
      <c r="B30" s="104"/>
      <c r="C30" s="18"/>
      <c r="D30" s="18"/>
      <c r="E30" s="138"/>
      <c r="F30" s="138"/>
      <c r="G30" s="138"/>
      <c r="H30" s="201"/>
      <c r="I30" s="140"/>
      <c r="J30" s="132"/>
      <c r="K30" s="138"/>
      <c r="L30" s="138"/>
      <c r="M30" s="138"/>
      <c r="N30" s="138"/>
      <c r="O30" s="141"/>
      <c r="P30" s="142"/>
      <c r="Q30" s="138"/>
      <c r="R30" s="138"/>
      <c r="S30" s="132"/>
      <c r="T30" s="138"/>
      <c r="U30" s="138"/>
      <c r="V30" s="141"/>
      <c r="W30" s="142"/>
      <c r="X30" s="138"/>
      <c r="Y30" s="138"/>
      <c r="Z30" s="138"/>
      <c r="AA30" s="138"/>
      <c r="AB30" s="138"/>
      <c r="AC30" s="139"/>
      <c r="AD30" s="140"/>
      <c r="AE30" s="138"/>
      <c r="AF30" s="138"/>
      <c r="AG30" s="138"/>
      <c r="AH30" s="138"/>
      <c r="AI30" s="138"/>
      <c r="AJ30" s="141"/>
      <c r="AK30" s="143"/>
      <c r="AL30" s="138"/>
      <c r="AM30" s="18"/>
      <c r="AN30" s="18"/>
      <c r="AO30" s="20"/>
      <c r="AQ30" s="229">
        <v>29</v>
      </c>
      <c r="AR30" s="230"/>
      <c r="AS30" s="231"/>
      <c r="AT30" s="230"/>
      <c r="AU30" s="230"/>
      <c r="BI30" s="215" t="e">
        <f t="shared" si="0"/>
        <v>#N/A</v>
      </c>
      <c r="BJ30" s="215" t="e">
        <f t="shared" si="1"/>
        <v>#REF!</v>
      </c>
      <c r="BK30" s="215" t="e">
        <f t="shared" si="2"/>
        <v>#N/A</v>
      </c>
      <c r="BL30" s="215" t="e">
        <f t="shared" si="5"/>
        <v>#N/A</v>
      </c>
      <c r="BM30" s="215" t="s">
        <v>88</v>
      </c>
      <c r="BN30" s="215" t="e">
        <f t="shared" si="4"/>
        <v>#REF!</v>
      </c>
      <c r="BO30" s="215">
        <v>29</v>
      </c>
      <c r="BP30" s="217">
        <v>37.299999999999997</v>
      </c>
      <c r="BQ30" s="269" t="s">
        <v>153</v>
      </c>
    </row>
    <row r="31" spans="1:69" ht="12" customHeight="1" thickBot="1">
      <c r="A31" s="56" t="s">
        <v>32</v>
      </c>
      <c r="B31" s="102"/>
      <c r="C31" s="22"/>
      <c r="D31" s="22"/>
      <c r="E31" s="132"/>
      <c r="F31" s="132"/>
      <c r="G31" s="132"/>
      <c r="H31" s="151"/>
      <c r="I31" s="134"/>
      <c r="J31" s="132"/>
      <c r="K31" s="132"/>
      <c r="L31" s="132"/>
      <c r="M31" s="132"/>
      <c r="N31" s="132"/>
      <c r="O31" s="151"/>
      <c r="P31" s="134"/>
      <c r="Q31" s="132"/>
      <c r="R31" s="132"/>
      <c r="S31" s="132"/>
      <c r="T31" s="132"/>
      <c r="U31" s="132"/>
      <c r="V31" s="135"/>
      <c r="W31" s="136"/>
      <c r="X31" s="132"/>
      <c r="Y31" s="132"/>
      <c r="Z31" s="132"/>
      <c r="AA31" s="132"/>
      <c r="AB31" s="132"/>
      <c r="AC31" s="133"/>
      <c r="AD31" s="134"/>
      <c r="AE31" s="132"/>
      <c r="AF31" s="132"/>
      <c r="AG31" s="132"/>
      <c r="AH31" s="132"/>
      <c r="AI31" s="132"/>
      <c r="AJ31" s="135"/>
      <c r="AK31" s="137"/>
      <c r="AL31" s="132"/>
      <c r="AM31" s="22"/>
      <c r="AN31" s="22"/>
      <c r="AO31" s="24"/>
      <c r="AQ31" s="229">
        <v>30</v>
      </c>
      <c r="AR31" s="230"/>
      <c r="AS31" s="231"/>
      <c r="AT31" s="230"/>
      <c r="AU31" s="230"/>
      <c r="BI31" s="215" t="e">
        <f t="shared" si="0"/>
        <v>#N/A</v>
      </c>
      <c r="BJ31" s="215" t="e">
        <f t="shared" si="1"/>
        <v>#REF!</v>
      </c>
      <c r="BK31" s="215" t="e">
        <f t="shared" si="2"/>
        <v>#N/A</v>
      </c>
      <c r="BL31" s="215" t="e">
        <f t="shared" si="5"/>
        <v>#N/A</v>
      </c>
      <c r="BN31" s="215" t="e">
        <f t="shared" si="4"/>
        <v>#REF!</v>
      </c>
      <c r="BO31" s="215">
        <v>30</v>
      </c>
      <c r="BP31" s="217">
        <v>37.35</v>
      </c>
      <c r="BQ31" s="269" t="s">
        <v>154</v>
      </c>
    </row>
    <row r="32" spans="1:69" ht="12" customHeight="1">
      <c r="A32" s="55" t="s">
        <v>36</v>
      </c>
      <c r="B32" s="104"/>
      <c r="C32" s="18"/>
      <c r="D32" s="18"/>
      <c r="E32" s="138"/>
      <c r="F32" s="138"/>
      <c r="G32" s="138"/>
      <c r="H32" s="139"/>
      <c r="I32" s="140"/>
      <c r="J32" s="138"/>
      <c r="K32" s="138"/>
      <c r="L32" s="138"/>
      <c r="M32" s="138"/>
      <c r="N32" s="138"/>
      <c r="O32" s="141"/>
      <c r="P32" s="142"/>
      <c r="Q32" s="138"/>
      <c r="R32" s="138"/>
      <c r="S32" s="138"/>
      <c r="T32" s="138"/>
      <c r="U32" s="138"/>
      <c r="V32" s="141"/>
      <c r="W32" s="142"/>
      <c r="X32" s="138"/>
      <c r="Y32" s="138"/>
      <c r="Z32" s="138"/>
      <c r="AA32" s="138"/>
      <c r="AB32" s="138"/>
      <c r="AC32" s="139"/>
      <c r="AD32" s="140"/>
      <c r="AE32" s="138"/>
      <c r="AF32" s="138"/>
      <c r="AG32" s="138"/>
      <c r="AH32" s="138"/>
      <c r="AI32" s="138"/>
      <c r="AJ32" s="141"/>
      <c r="AK32" s="143"/>
      <c r="AL32" s="138"/>
      <c r="AM32" s="18"/>
      <c r="AN32" s="210"/>
      <c r="AO32" s="20"/>
      <c r="AQ32" s="229">
        <v>31</v>
      </c>
      <c r="AR32" s="230"/>
      <c r="AS32" s="231"/>
      <c r="AT32" s="230"/>
      <c r="AU32" s="230"/>
      <c r="BI32" s="215" t="e">
        <f t="shared" si="0"/>
        <v>#N/A</v>
      </c>
      <c r="BJ32" s="215" t="e">
        <f t="shared" si="1"/>
        <v>#REF!</v>
      </c>
      <c r="BK32" s="215" t="e">
        <f t="shared" si="2"/>
        <v>#N/A</v>
      </c>
      <c r="BL32" s="215" t="e">
        <f t="shared" si="5"/>
        <v>#N/A</v>
      </c>
      <c r="BN32" s="215" t="e">
        <f t="shared" si="4"/>
        <v>#REF!</v>
      </c>
      <c r="BO32" s="215">
        <v>31</v>
      </c>
      <c r="BP32" s="217">
        <v>37.4</v>
      </c>
      <c r="BQ32" s="269" t="s">
        <v>155</v>
      </c>
    </row>
    <row r="33" spans="1:69" ht="12" customHeight="1" thickBot="1">
      <c r="A33" s="56" t="s">
        <v>51</v>
      </c>
      <c r="B33" s="106"/>
      <c r="C33" s="107"/>
      <c r="D33" s="108"/>
      <c r="E33" s="108"/>
      <c r="F33" s="107"/>
      <c r="G33" s="108"/>
      <c r="H33" s="109"/>
      <c r="I33" s="101"/>
      <c r="J33" s="22"/>
      <c r="K33" s="22"/>
      <c r="L33" s="22"/>
      <c r="M33" s="22"/>
      <c r="N33" s="22"/>
      <c r="O33" s="23"/>
      <c r="P33" s="106"/>
      <c r="Q33" s="108"/>
      <c r="R33" s="108"/>
      <c r="S33" s="108"/>
      <c r="T33" s="108"/>
      <c r="U33" s="108"/>
      <c r="V33" s="115"/>
      <c r="W33" s="106"/>
      <c r="X33" s="108"/>
      <c r="Y33" s="108"/>
      <c r="Z33" s="108"/>
      <c r="AA33" s="108"/>
      <c r="AB33" s="108"/>
      <c r="AC33" s="109"/>
      <c r="AD33" s="101"/>
      <c r="AE33" s="22"/>
      <c r="AF33" s="22"/>
      <c r="AG33" s="22"/>
      <c r="AH33" s="22"/>
      <c r="AI33" s="22"/>
      <c r="AJ33" s="23"/>
      <c r="AK33" s="21"/>
      <c r="AL33" s="22"/>
      <c r="AM33" s="22"/>
      <c r="AN33" s="22"/>
      <c r="AO33" s="24"/>
      <c r="AQ33" s="229">
        <v>32</v>
      </c>
      <c r="AR33" s="230"/>
      <c r="AS33" s="231"/>
      <c r="AT33" s="230"/>
      <c r="AU33" s="230"/>
      <c r="BI33" s="215" t="e">
        <f t="shared" si="0"/>
        <v>#N/A</v>
      </c>
      <c r="BJ33" s="215" t="e">
        <f t="shared" si="1"/>
        <v>#REF!</v>
      </c>
      <c r="BK33" s="215" t="e">
        <f t="shared" si="2"/>
        <v>#N/A</v>
      </c>
      <c r="BL33" s="215" t="e">
        <f t="shared" si="5"/>
        <v>#N/A</v>
      </c>
      <c r="BN33" s="215" t="e">
        <f t="shared" si="4"/>
        <v>#REF!</v>
      </c>
      <c r="BQ33" s="269" t="s">
        <v>156</v>
      </c>
    </row>
    <row r="34" spans="1:69" ht="13.5" thickBot="1">
      <c r="A34" s="4" t="s">
        <v>0</v>
      </c>
      <c r="B34" s="169">
        <v>1</v>
      </c>
      <c r="C34" s="170">
        <v>2</v>
      </c>
      <c r="D34" s="170">
        <v>3</v>
      </c>
      <c r="E34" s="170">
        <v>4</v>
      </c>
      <c r="F34" s="170">
        <v>5</v>
      </c>
      <c r="G34" s="170">
        <v>6</v>
      </c>
      <c r="H34" s="171">
        <v>7</v>
      </c>
      <c r="I34" s="165">
        <v>8</v>
      </c>
      <c r="J34" s="166">
        <v>9</v>
      </c>
      <c r="K34" s="166">
        <v>10</v>
      </c>
      <c r="L34" s="166">
        <v>11</v>
      </c>
      <c r="M34" s="166">
        <v>12</v>
      </c>
      <c r="N34" s="166">
        <v>13</v>
      </c>
      <c r="O34" s="167">
        <v>14</v>
      </c>
      <c r="P34" s="169">
        <v>15</v>
      </c>
      <c r="Q34" s="170">
        <v>16</v>
      </c>
      <c r="R34" s="170">
        <v>17</v>
      </c>
      <c r="S34" s="170">
        <v>18</v>
      </c>
      <c r="T34" s="170">
        <v>19</v>
      </c>
      <c r="U34" s="170">
        <v>20</v>
      </c>
      <c r="V34" s="171">
        <v>21</v>
      </c>
      <c r="W34" s="169">
        <v>22</v>
      </c>
      <c r="X34" s="170">
        <v>23</v>
      </c>
      <c r="Y34" s="170">
        <v>24</v>
      </c>
      <c r="Z34" s="170">
        <v>25</v>
      </c>
      <c r="AA34" s="170">
        <v>26</v>
      </c>
      <c r="AB34" s="170">
        <v>27</v>
      </c>
      <c r="AC34" s="171">
        <v>28</v>
      </c>
      <c r="AD34" s="165">
        <v>29</v>
      </c>
      <c r="AE34" s="166">
        <v>30</v>
      </c>
      <c r="AF34" s="166">
        <v>31</v>
      </c>
      <c r="AG34" s="166">
        <v>32</v>
      </c>
      <c r="AH34" s="166">
        <v>33</v>
      </c>
      <c r="AI34" s="166">
        <v>34</v>
      </c>
      <c r="AJ34" s="167">
        <v>35</v>
      </c>
      <c r="AK34" s="165">
        <v>36</v>
      </c>
      <c r="AL34" s="166">
        <v>37</v>
      </c>
      <c r="AM34" s="166">
        <v>38</v>
      </c>
      <c r="AN34" s="166">
        <v>39</v>
      </c>
      <c r="AO34" s="168">
        <v>40</v>
      </c>
      <c r="AQ34" s="229">
        <v>33</v>
      </c>
      <c r="AR34" s="230"/>
      <c r="AS34" s="231"/>
      <c r="AT34" s="230"/>
      <c r="AU34" s="230"/>
      <c r="BI34" s="215" t="e">
        <f t="shared" si="0"/>
        <v>#N/A</v>
      </c>
      <c r="BJ34" s="215" t="e">
        <f t="shared" si="1"/>
        <v>#REF!</v>
      </c>
      <c r="BK34" s="215" t="e">
        <f t="shared" si="2"/>
        <v>#N/A</v>
      </c>
      <c r="BL34" s="215" t="e">
        <f t="shared" si="5"/>
        <v>#N/A</v>
      </c>
      <c r="BN34" s="215" t="e">
        <f t="shared" si="4"/>
        <v>#REF!</v>
      </c>
      <c r="BQ34" s="269" t="s">
        <v>157</v>
      </c>
    </row>
    <row r="35" spans="1:69" s="15" customFormat="1" ht="12" customHeight="1">
      <c r="A35" s="185" t="s">
        <v>1</v>
      </c>
      <c r="B35" s="34" t="str">
        <f>IF(AT2=0," ",AT2)</f>
        <v xml:space="preserve"> </v>
      </c>
      <c r="C35" s="33" t="str">
        <f>IF(AT3=0," ",AT3)</f>
        <v xml:space="preserve"> </v>
      </c>
      <c r="D35" s="33" t="str">
        <f>IF(AT4=0," ",AT4)</f>
        <v xml:space="preserve"> </v>
      </c>
      <c r="E35" s="33" t="str">
        <f>IF(AT5=0," ",AT5)</f>
        <v xml:space="preserve"> </v>
      </c>
      <c r="F35" s="33" t="str">
        <f>IF(AT6=0," ",AT6)</f>
        <v xml:space="preserve"> </v>
      </c>
      <c r="G35" s="33" t="str">
        <f>IF(AT7=0," ",AT7)</f>
        <v xml:space="preserve"> </v>
      </c>
      <c r="H35" s="33" t="str">
        <f>IF(AT8=0," ",AT8)</f>
        <v xml:space="preserve"> </v>
      </c>
      <c r="I35" s="33" t="str">
        <f>IF(AT9=0," ",AT9)</f>
        <v xml:space="preserve"> </v>
      </c>
      <c r="J35" s="33" t="str">
        <f>IF(AT10=0," ",AT10)</f>
        <v xml:space="preserve"> </v>
      </c>
      <c r="K35" s="33" t="str">
        <f>IF(AT11=0," ",AT11)</f>
        <v xml:space="preserve"> </v>
      </c>
      <c r="L35" s="33" t="str">
        <f>IF(AT12=0," ",AT12)</f>
        <v xml:space="preserve"> </v>
      </c>
      <c r="M35" s="33" t="str">
        <f>IF(AT13=0," ",AT13)</f>
        <v xml:space="preserve"> </v>
      </c>
      <c r="N35" s="33" t="str">
        <f>IF(AT14=0," ",AT14)</f>
        <v xml:space="preserve"> </v>
      </c>
      <c r="O35" s="33" t="str">
        <f>IF(AT15=0," ",AT15)</f>
        <v xml:space="preserve"> </v>
      </c>
      <c r="P35" s="33" t="str">
        <f>IF(AT16=0," ",AT16)</f>
        <v xml:space="preserve"> </v>
      </c>
      <c r="Q35" s="33" t="str">
        <f>IF(AT17=0," ",AT17)</f>
        <v xml:space="preserve"> </v>
      </c>
      <c r="R35" s="33" t="str">
        <f>IF(AT18=0," ",AT18)</f>
        <v xml:space="preserve"> </v>
      </c>
      <c r="S35" s="33" t="str">
        <f>IF(AT19=0," ",AT19)</f>
        <v xml:space="preserve"> </v>
      </c>
      <c r="T35" s="33" t="str">
        <f>IF(AT20=0," ",AT20)</f>
        <v xml:space="preserve"> </v>
      </c>
      <c r="U35" s="33" t="str">
        <f>IF(AT21=0," ",AT21)</f>
        <v xml:space="preserve"> </v>
      </c>
      <c r="V35" s="33" t="str">
        <f>IF(AT22=0," ",AT22)</f>
        <v xml:space="preserve"> </v>
      </c>
      <c r="W35" s="33" t="str">
        <f>IF(AT23=0," ",AT23)</f>
        <v xml:space="preserve"> </v>
      </c>
      <c r="X35" s="33" t="str">
        <f>IF(AT24=0," ",AT24)</f>
        <v xml:space="preserve"> </v>
      </c>
      <c r="Y35" s="33" t="str">
        <f>IF(AT25=0," ",AT25)</f>
        <v xml:space="preserve"> </v>
      </c>
      <c r="Z35" s="33" t="str">
        <f>IF(AT26=0," ",AT26)</f>
        <v xml:space="preserve"> </v>
      </c>
      <c r="AA35" s="33" t="str">
        <f>IF(AT27=0," ",AT27)</f>
        <v xml:space="preserve"> </v>
      </c>
      <c r="AB35" s="33" t="str">
        <f>IF(AT28=0," ",AT28)</f>
        <v xml:space="preserve"> </v>
      </c>
      <c r="AC35" s="33" t="str">
        <f>IF(AT29=0," ",AT29)</f>
        <v xml:space="preserve"> </v>
      </c>
      <c r="AD35" s="33" t="str">
        <f>IF(AT30=0," ",AT30)</f>
        <v xml:space="preserve"> </v>
      </c>
      <c r="AE35" s="33" t="str">
        <f>IF(AT31=0," ",AT31)</f>
        <v xml:space="preserve"> </v>
      </c>
      <c r="AF35" s="33" t="str">
        <f>IF(AT32=0," ",AT32)</f>
        <v xml:space="preserve"> </v>
      </c>
      <c r="AG35" s="33" t="str">
        <f>IF(AT33=0," ",AT33)</f>
        <v xml:space="preserve"> </v>
      </c>
      <c r="AH35" s="33" t="str">
        <f>IF(AT34=0," ",AT34)</f>
        <v xml:space="preserve"> </v>
      </c>
      <c r="AI35" s="33" t="str">
        <f>IF(AT35=0," ",AT35)</f>
        <v xml:space="preserve"> </v>
      </c>
      <c r="AJ35" s="33" t="str">
        <f>IF(AT36=0," ",AT36)</f>
        <v xml:space="preserve"> </v>
      </c>
      <c r="AK35" s="33" t="str">
        <f>IF(AT37=0," ",AT37)</f>
        <v xml:space="preserve"> </v>
      </c>
      <c r="AL35" s="33" t="str">
        <f>IF(AT38=0," ",AT38)</f>
        <v xml:space="preserve"> </v>
      </c>
      <c r="AM35" s="33" t="str">
        <f>IF(AT39=0," ",AT29)</f>
        <v xml:space="preserve"> </v>
      </c>
      <c r="AN35" s="33" t="str">
        <f>IF(AT40=0," ",AT40)</f>
        <v xml:space="preserve"> </v>
      </c>
      <c r="AO35" s="33" t="str">
        <f>IF(AT41=0," ",AT41)</f>
        <v xml:space="preserve"> </v>
      </c>
      <c r="AQ35" s="229">
        <v>34</v>
      </c>
      <c r="AR35" s="230"/>
      <c r="AS35" s="231"/>
      <c r="AT35" s="230"/>
      <c r="AU35" s="230"/>
      <c r="BI35" s="215" t="e">
        <f t="shared" si="0"/>
        <v>#N/A</v>
      </c>
      <c r="BJ35" s="215" t="e">
        <f t="shared" si="1"/>
        <v>#REF!</v>
      </c>
      <c r="BK35" s="215" t="e">
        <f t="shared" si="2"/>
        <v>#N/A</v>
      </c>
      <c r="BL35" s="215" t="e">
        <f t="shared" si="5"/>
        <v>#N/A</v>
      </c>
      <c r="BM35" s="218"/>
      <c r="BN35" s="215" t="e">
        <f t="shared" si="4"/>
        <v>#REF!</v>
      </c>
      <c r="BO35" s="218"/>
      <c r="BP35" s="218"/>
      <c r="BQ35" s="269" t="s">
        <v>158</v>
      </c>
    </row>
    <row r="36" spans="1:69" s="15" customFormat="1" ht="12" customHeight="1" thickBot="1">
      <c r="A36" s="273" t="s">
        <v>52</v>
      </c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/>
      <c r="AJ36" s="273"/>
      <c r="AK36" s="273"/>
      <c r="AL36" s="273"/>
      <c r="AM36" s="273"/>
      <c r="AN36" s="273"/>
      <c r="AO36" s="273"/>
      <c r="AQ36" s="229">
        <v>35</v>
      </c>
      <c r="AR36" s="230"/>
      <c r="AS36" s="231"/>
      <c r="AT36" s="230"/>
      <c r="AU36" s="230"/>
      <c r="BI36" s="215" t="e">
        <f t="shared" si="0"/>
        <v>#N/A</v>
      </c>
      <c r="BJ36" s="215" t="e">
        <f t="shared" si="1"/>
        <v>#REF!</v>
      </c>
      <c r="BK36" s="215" t="e">
        <f t="shared" si="2"/>
        <v>#N/A</v>
      </c>
      <c r="BL36" s="215" t="e">
        <f t="shared" si="5"/>
        <v>#N/A</v>
      </c>
      <c r="BM36" s="218"/>
      <c r="BN36" s="215" t="e">
        <f t="shared" si="4"/>
        <v>#REF!</v>
      </c>
      <c r="BO36" s="218"/>
      <c r="BP36" s="218"/>
      <c r="BQ36" s="269" t="s">
        <v>159</v>
      </c>
    </row>
    <row r="37" spans="1:69" s="16" customFormat="1" ht="12" customHeight="1" thickBot="1">
      <c r="A37" s="11" t="s">
        <v>2</v>
      </c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Q37" s="229">
        <v>36</v>
      </c>
      <c r="AR37" s="230"/>
      <c r="AS37" s="231"/>
      <c r="AT37" s="230"/>
      <c r="AU37" s="230"/>
      <c r="BI37" s="215" t="e">
        <f t="shared" si="0"/>
        <v>#N/A</v>
      </c>
      <c r="BJ37" s="215" t="e">
        <f t="shared" si="1"/>
        <v>#REF!</v>
      </c>
      <c r="BK37" s="215" t="e">
        <f t="shared" si="2"/>
        <v>#N/A</v>
      </c>
      <c r="BL37" s="215" t="e">
        <f t="shared" si="5"/>
        <v>#N/A</v>
      </c>
      <c r="BM37" s="219"/>
      <c r="BN37" s="215" t="e">
        <f t="shared" si="4"/>
        <v>#REF!</v>
      </c>
      <c r="BO37" s="219"/>
      <c r="BP37" s="219"/>
      <c r="BQ37" s="269" t="s">
        <v>160</v>
      </c>
    </row>
    <row r="38" spans="1:69" s="15" customFormat="1" ht="12" customHeight="1" thickBot="1">
      <c r="A38" s="174" t="s">
        <v>53</v>
      </c>
      <c r="B38" s="172"/>
      <c r="C38" s="173"/>
      <c r="D38" s="173"/>
      <c r="E38" s="173"/>
      <c r="F38" s="173"/>
      <c r="G38" s="173"/>
      <c r="H38" s="173"/>
      <c r="I38" s="173"/>
      <c r="J38" s="173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9"/>
      <c r="AQ38" s="229">
        <v>37</v>
      </c>
      <c r="AR38" s="230"/>
      <c r="AS38" s="231"/>
      <c r="AT38" s="230"/>
      <c r="AU38" s="230"/>
      <c r="BI38" s="215" t="e">
        <f t="shared" si="0"/>
        <v>#N/A</v>
      </c>
      <c r="BJ38" s="215" t="e">
        <f t="shared" si="1"/>
        <v>#REF!</v>
      </c>
      <c r="BK38" s="215" t="e">
        <f t="shared" si="2"/>
        <v>#N/A</v>
      </c>
      <c r="BL38" s="215" t="e">
        <f t="shared" si="5"/>
        <v>#N/A</v>
      </c>
      <c r="BM38" s="218"/>
      <c r="BN38" s="215" t="e">
        <f t="shared" si="4"/>
        <v>#REF!</v>
      </c>
      <c r="BO38" s="218"/>
      <c r="BP38" s="218"/>
      <c r="BQ38" s="269" t="s">
        <v>161</v>
      </c>
    </row>
    <row r="39" spans="1:69" s="15" customFormat="1" ht="12" customHeight="1" thickBot="1">
      <c r="A39" s="175" t="s">
        <v>57</v>
      </c>
      <c r="B39" s="126" t="str">
        <f>IF(AR2=0," ",AR2)</f>
        <v xml:space="preserve"> </v>
      </c>
      <c r="C39" s="127" t="str">
        <f>IF(AR3=0," ",AR3)</f>
        <v xml:space="preserve"> </v>
      </c>
      <c r="D39" s="127" t="str">
        <f>IF(AR4=0," ",AR4)</f>
        <v xml:space="preserve"> </v>
      </c>
      <c r="E39" s="127" t="str">
        <f>IF(AR5=0," ",AR5)</f>
        <v xml:space="preserve"> </v>
      </c>
      <c r="F39" s="127" t="str">
        <f>IF(AR6=0," ",AR6)</f>
        <v xml:space="preserve"> </v>
      </c>
      <c r="G39" s="127" t="str">
        <f>IF(AR7=0," ",AR7)</f>
        <v xml:space="preserve"> </v>
      </c>
      <c r="H39" s="128" t="str">
        <f>IF(AR8=0," ",AR8)</f>
        <v xml:space="preserve"> </v>
      </c>
      <c r="I39" s="126" t="str">
        <f>IF(AR9=0," ",AR9)</f>
        <v xml:space="preserve"> </v>
      </c>
      <c r="J39" s="127" t="str">
        <f>IF(AR10=0," ",AR10)</f>
        <v xml:space="preserve"> </v>
      </c>
      <c r="K39" s="127" t="str">
        <f>IF(AR11=0," ",AR11)</f>
        <v xml:space="preserve"> </v>
      </c>
      <c r="L39" s="127" t="str">
        <f>IF(AR12=0," ",AR12)</f>
        <v xml:space="preserve"> </v>
      </c>
      <c r="M39" s="127" t="str">
        <f>IF(AR13=0," ",AR13)</f>
        <v xml:space="preserve"> </v>
      </c>
      <c r="N39" s="127" t="str">
        <f>IF(AR14=0," ",AR14)</f>
        <v xml:space="preserve"> </v>
      </c>
      <c r="O39" s="128" t="str">
        <f>IF(AR15=0," ",AR15)</f>
        <v xml:space="preserve"> </v>
      </c>
      <c r="P39" s="126" t="str">
        <f>IF(AR16=0," ",AR16)</f>
        <v xml:space="preserve"> </v>
      </c>
      <c r="Q39" s="127" t="str">
        <f>IF(AR17=0," ",AR17)</f>
        <v xml:space="preserve"> </v>
      </c>
      <c r="R39" s="127" t="str">
        <f>IF(AR18=0," ",AR18)</f>
        <v xml:space="preserve"> </v>
      </c>
      <c r="S39" s="127" t="str">
        <f>IF(AR19=0," ",AR19)</f>
        <v xml:space="preserve"> </v>
      </c>
      <c r="T39" s="127" t="str">
        <f>IF(AR20=0," ",AR20)</f>
        <v xml:space="preserve"> </v>
      </c>
      <c r="U39" s="127" t="str">
        <f>IF(AR21=0," ",AR21)</f>
        <v xml:space="preserve"> </v>
      </c>
      <c r="V39" s="128" t="str">
        <f>IF(AR22=0," ",AR22)</f>
        <v xml:space="preserve"> </v>
      </c>
      <c r="W39" s="126" t="str">
        <f>IF(AR23=0," ",AR23)</f>
        <v xml:space="preserve"> </v>
      </c>
      <c r="X39" s="127" t="str">
        <f>IF(AR24=0," ",AR24)</f>
        <v xml:space="preserve"> </v>
      </c>
      <c r="Y39" s="127" t="str">
        <f>IF(AR25=0," ",AR25)</f>
        <v xml:space="preserve"> </v>
      </c>
      <c r="Z39" s="127" t="str">
        <f>IF(AR26=0," ",AR26)</f>
        <v xml:space="preserve"> </v>
      </c>
      <c r="AA39" s="127" t="str">
        <f>IF(AR27=0," ",AR27)</f>
        <v xml:space="preserve"> </v>
      </c>
      <c r="AB39" s="127" t="str">
        <f>IF(AR28=0," ",AR28)</f>
        <v xml:space="preserve"> </v>
      </c>
      <c r="AC39" s="128" t="str">
        <f>IF(AR29=0," ",AR29)</f>
        <v xml:space="preserve"> </v>
      </c>
      <c r="AD39" s="126" t="str">
        <f>IF(AR30=0," ",AR30)</f>
        <v xml:space="preserve"> </v>
      </c>
      <c r="AE39" s="127" t="str">
        <f>IF(AR31=0," ",AR31)</f>
        <v xml:space="preserve"> </v>
      </c>
      <c r="AF39" s="127" t="str">
        <f>IF(AR32=0," ",AR32)</f>
        <v xml:space="preserve"> </v>
      </c>
      <c r="AG39" s="127" t="str">
        <f>IF(AR33=0," ",AR33)</f>
        <v xml:space="preserve"> </v>
      </c>
      <c r="AH39" s="127" t="str">
        <f>IF(AR34=0," ",AR34)</f>
        <v xml:space="preserve"> </v>
      </c>
      <c r="AI39" s="127" t="str">
        <f>IF(AR35=0," ",AR35)</f>
        <v xml:space="preserve"> </v>
      </c>
      <c r="AJ39" s="128" t="str">
        <f>IF(AR36=0," ",AR36)</f>
        <v xml:space="preserve"> </v>
      </c>
      <c r="AK39" s="126" t="str">
        <f>IF(AR37=0," ",AR37)</f>
        <v xml:space="preserve"> </v>
      </c>
      <c r="AL39" s="127" t="str">
        <f>IF(AR38=0," ",AR38)</f>
        <v xml:space="preserve"> </v>
      </c>
      <c r="AM39" s="127" t="str">
        <f>IF(AR39=0," ",AR39)</f>
        <v xml:space="preserve"> </v>
      </c>
      <c r="AN39" s="127" t="str">
        <f>IF(AR40=0," ",AR40)</f>
        <v xml:space="preserve"> </v>
      </c>
      <c r="AO39" s="236" t="str">
        <f>IF(AR41=0," ",AR41)</f>
        <v xml:space="preserve"> </v>
      </c>
      <c r="AQ39" s="229">
        <v>38</v>
      </c>
      <c r="AR39" s="230"/>
      <c r="AS39" s="231"/>
      <c r="AT39" s="230"/>
      <c r="AU39" s="230"/>
      <c r="BI39" s="215" t="e">
        <f t="shared" si="0"/>
        <v>#N/A</v>
      </c>
      <c r="BJ39" s="215" t="e">
        <f t="shared" si="1"/>
        <v>#REF!</v>
      </c>
      <c r="BK39" s="215" t="e">
        <f t="shared" si="2"/>
        <v>#N/A</v>
      </c>
      <c r="BL39" s="215" t="e">
        <f t="shared" si="5"/>
        <v>#N/A</v>
      </c>
      <c r="BM39" s="218"/>
      <c r="BN39" s="215" t="e">
        <f t="shared" si="4"/>
        <v>#REF!</v>
      </c>
      <c r="BO39" s="218"/>
      <c r="BP39" s="218"/>
      <c r="BQ39" s="269" t="s">
        <v>162</v>
      </c>
    </row>
    <row r="40" spans="1:69" ht="13.5" thickBot="1">
      <c r="A40" s="40" t="s">
        <v>0</v>
      </c>
      <c r="B40" s="165">
        <v>1</v>
      </c>
      <c r="C40" s="166">
        <v>2</v>
      </c>
      <c r="D40" s="166">
        <v>3</v>
      </c>
      <c r="E40" s="166">
        <v>4</v>
      </c>
      <c r="F40" s="166">
        <v>5</v>
      </c>
      <c r="G40" s="166">
        <v>6</v>
      </c>
      <c r="H40" s="167">
        <v>7</v>
      </c>
      <c r="I40" s="165">
        <v>8</v>
      </c>
      <c r="J40" s="166">
        <v>9</v>
      </c>
      <c r="K40" s="166">
        <v>10</v>
      </c>
      <c r="L40" s="166">
        <v>11</v>
      </c>
      <c r="M40" s="166">
        <v>12</v>
      </c>
      <c r="N40" s="166">
        <v>13</v>
      </c>
      <c r="O40" s="167">
        <v>14</v>
      </c>
      <c r="P40" s="165">
        <v>15</v>
      </c>
      <c r="Q40" s="166">
        <v>16</v>
      </c>
      <c r="R40" s="166">
        <v>17</v>
      </c>
      <c r="S40" s="166">
        <v>18</v>
      </c>
      <c r="T40" s="166">
        <v>19</v>
      </c>
      <c r="U40" s="166">
        <v>20</v>
      </c>
      <c r="V40" s="167">
        <v>21</v>
      </c>
      <c r="W40" s="165">
        <v>22</v>
      </c>
      <c r="X40" s="166">
        <v>23</v>
      </c>
      <c r="Y40" s="166">
        <v>24</v>
      </c>
      <c r="Z40" s="166">
        <v>25</v>
      </c>
      <c r="AA40" s="166">
        <v>26</v>
      </c>
      <c r="AB40" s="166">
        <v>27</v>
      </c>
      <c r="AC40" s="167">
        <v>28</v>
      </c>
      <c r="AD40" s="165">
        <v>29</v>
      </c>
      <c r="AE40" s="166">
        <v>30</v>
      </c>
      <c r="AF40" s="166">
        <v>31</v>
      </c>
      <c r="AG40" s="166">
        <v>32</v>
      </c>
      <c r="AH40" s="166">
        <v>33</v>
      </c>
      <c r="AI40" s="166">
        <v>34</v>
      </c>
      <c r="AJ40" s="167">
        <v>35</v>
      </c>
      <c r="AK40" s="165">
        <v>36</v>
      </c>
      <c r="AL40" s="166">
        <v>37</v>
      </c>
      <c r="AM40" s="166">
        <v>38</v>
      </c>
      <c r="AN40" s="166">
        <v>39</v>
      </c>
      <c r="AO40" s="168">
        <v>40</v>
      </c>
      <c r="AQ40" s="229">
        <v>39</v>
      </c>
      <c r="AR40" s="230"/>
      <c r="AS40" s="231"/>
      <c r="AT40" s="230"/>
      <c r="AU40" s="230"/>
      <c r="BI40" s="215" t="e">
        <f t="shared" si="0"/>
        <v>#N/A</v>
      </c>
      <c r="BJ40" s="215" t="e">
        <f t="shared" si="1"/>
        <v>#REF!</v>
      </c>
      <c r="BK40" s="215" t="e">
        <f t="shared" si="2"/>
        <v>#N/A</v>
      </c>
      <c r="BL40" s="215" t="e">
        <f t="shared" si="5"/>
        <v>#N/A</v>
      </c>
      <c r="BN40" s="215" t="e">
        <f t="shared" si="4"/>
        <v>#REF!</v>
      </c>
      <c r="BQ40" s="269" t="s">
        <v>163</v>
      </c>
    </row>
    <row r="41" spans="1:69" ht="12" customHeight="1">
      <c r="A41" s="9" t="s">
        <v>66</v>
      </c>
      <c r="B41" s="61"/>
      <c r="C41" s="62"/>
      <c r="D41" s="62"/>
      <c r="E41" s="62"/>
      <c r="F41" s="62"/>
      <c r="G41" s="62"/>
      <c r="H41" s="63"/>
      <c r="I41" s="61"/>
      <c r="J41" s="62"/>
      <c r="K41" s="62"/>
      <c r="L41" s="62"/>
      <c r="M41" s="62"/>
      <c r="N41" s="62"/>
      <c r="O41" s="63"/>
      <c r="P41" s="61"/>
      <c r="Q41" s="62"/>
      <c r="R41" s="62"/>
      <c r="S41" s="62"/>
      <c r="T41" s="62"/>
      <c r="U41" s="62"/>
      <c r="V41" s="63"/>
      <c r="W41" s="61"/>
      <c r="X41" s="62"/>
      <c r="Y41" s="62"/>
      <c r="Z41" s="62"/>
      <c r="AA41" s="62"/>
      <c r="AB41" s="62"/>
      <c r="AC41" s="63"/>
      <c r="AD41" s="61"/>
      <c r="AE41" s="62"/>
      <c r="AF41" s="62"/>
      <c r="AG41" s="62"/>
      <c r="AH41" s="62"/>
      <c r="AI41" s="62"/>
      <c r="AJ41" s="63"/>
      <c r="AK41" s="61"/>
      <c r="AL41" s="62"/>
      <c r="AM41" s="62"/>
      <c r="AN41" s="62"/>
      <c r="AO41" s="64"/>
      <c r="AP41" s="39"/>
      <c r="AQ41" s="229">
        <v>40</v>
      </c>
      <c r="AR41" s="230"/>
      <c r="AS41" s="231"/>
      <c r="AT41" s="230"/>
      <c r="AU41" s="230"/>
      <c r="BA41" s="1"/>
      <c r="BB41" s="1"/>
      <c r="BC41" s="1"/>
      <c r="BD41" s="1"/>
      <c r="BE41" s="1"/>
      <c r="BF41" s="1"/>
      <c r="BG41" s="1"/>
      <c r="BH41" s="1"/>
      <c r="BI41" s="215" t="e">
        <f t="shared" si="0"/>
        <v>#N/A</v>
      </c>
      <c r="BJ41" s="215" t="e">
        <f t="shared" si="1"/>
        <v>#REF!</v>
      </c>
      <c r="BK41" s="215" t="e">
        <f t="shared" si="2"/>
        <v>#N/A</v>
      </c>
      <c r="BL41" s="215" t="e">
        <f t="shared" si="5"/>
        <v>#N/A</v>
      </c>
      <c r="BN41" s="215" t="e">
        <f t="shared" si="4"/>
        <v>#REF!</v>
      </c>
      <c r="BQ41" s="269" t="s">
        <v>164</v>
      </c>
    </row>
    <row r="42" spans="1:69" ht="12" customHeight="1">
      <c r="A42" s="7" t="s">
        <v>3</v>
      </c>
      <c r="B42" s="65"/>
      <c r="C42" s="66"/>
      <c r="D42" s="66"/>
      <c r="E42" s="66"/>
      <c r="F42" s="66"/>
      <c r="G42" s="66"/>
      <c r="H42" s="67"/>
      <c r="I42" s="65"/>
      <c r="J42" s="66"/>
      <c r="K42" s="66"/>
      <c r="L42" s="66"/>
      <c r="M42" s="66"/>
      <c r="N42" s="66"/>
      <c r="O42" s="67"/>
      <c r="P42" s="65"/>
      <c r="Q42" s="66"/>
      <c r="R42" s="66"/>
      <c r="S42" s="66"/>
      <c r="T42" s="66"/>
      <c r="U42" s="66"/>
      <c r="V42" s="67"/>
      <c r="W42" s="65"/>
      <c r="X42" s="66"/>
      <c r="Y42" s="66"/>
      <c r="Z42" s="66"/>
      <c r="AA42" s="66"/>
      <c r="AB42" s="66"/>
      <c r="AC42" s="67"/>
      <c r="AD42" s="65"/>
      <c r="AE42" s="66"/>
      <c r="AF42" s="66"/>
      <c r="AG42" s="66"/>
      <c r="AH42" s="66"/>
      <c r="AI42" s="66"/>
      <c r="AJ42" s="67"/>
      <c r="AK42" s="65"/>
      <c r="AL42" s="66"/>
      <c r="AM42" s="66"/>
      <c r="AN42" s="66"/>
      <c r="AO42" s="68"/>
      <c r="BA42" s="1"/>
      <c r="BB42" s="1"/>
      <c r="BC42" s="1"/>
      <c r="BD42" s="1"/>
      <c r="BE42" s="1"/>
      <c r="BF42" s="1"/>
      <c r="BG42" s="1"/>
      <c r="BH42" s="1"/>
      <c r="BQ42" s="269" t="s">
        <v>165</v>
      </c>
    </row>
    <row r="43" spans="1:69" ht="12" customHeight="1">
      <c r="A43" s="7" t="s">
        <v>45</v>
      </c>
      <c r="B43" s="69"/>
      <c r="C43" s="70"/>
      <c r="D43" s="70"/>
      <c r="E43" s="70"/>
      <c r="F43" s="70"/>
      <c r="G43" s="70"/>
      <c r="H43" s="71"/>
      <c r="I43" s="69"/>
      <c r="J43" s="70"/>
      <c r="K43" s="70"/>
      <c r="L43" s="70"/>
      <c r="M43" s="70"/>
      <c r="N43" s="70"/>
      <c r="O43" s="71"/>
      <c r="P43" s="69"/>
      <c r="Q43" s="70"/>
      <c r="R43" s="70"/>
      <c r="S43" s="70"/>
      <c r="T43" s="70"/>
      <c r="U43" s="70"/>
      <c r="V43" s="71"/>
      <c r="W43" s="69"/>
      <c r="X43" s="70"/>
      <c r="Y43" s="70"/>
      <c r="Z43" s="70"/>
      <c r="AA43" s="70"/>
      <c r="AB43" s="70"/>
      <c r="AC43" s="71"/>
      <c r="AD43" s="69"/>
      <c r="AE43" s="70"/>
      <c r="AF43" s="70"/>
      <c r="AG43" s="70"/>
      <c r="AH43" s="70"/>
      <c r="AI43" s="70"/>
      <c r="AJ43" s="71"/>
      <c r="AK43" s="69"/>
      <c r="AL43" s="70"/>
      <c r="AM43" s="70"/>
      <c r="AN43" s="70"/>
      <c r="AO43" s="72"/>
      <c r="BA43" s="1"/>
      <c r="BB43" s="1"/>
      <c r="BC43" s="1"/>
      <c r="BD43" s="1"/>
      <c r="BE43" s="1"/>
      <c r="BF43" s="1"/>
      <c r="BG43" s="1"/>
      <c r="BH43" s="1"/>
      <c r="BQ43" s="269" t="s">
        <v>166</v>
      </c>
    </row>
    <row r="44" spans="1:69" ht="12" customHeight="1" thickBot="1">
      <c r="A44" s="8" t="s">
        <v>46</v>
      </c>
      <c r="B44" s="73"/>
      <c r="C44" s="74"/>
      <c r="D44" s="74"/>
      <c r="E44" s="74"/>
      <c r="F44" s="74"/>
      <c r="G44" s="74"/>
      <c r="H44" s="75"/>
      <c r="I44" s="73"/>
      <c r="J44" s="74"/>
      <c r="K44" s="74"/>
      <c r="L44" s="74"/>
      <c r="M44" s="74"/>
      <c r="N44" s="74"/>
      <c r="O44" s="75"/>
      <c r="P44" s="73"/>
      <c r="Q44" s="74"/>
      <c r="R44" s="74"/>
      <c r="S44" s="74"/>
      <c r="T44" s="74"/>
      <c r="U44" s="74"/>
      <c r="V44" s="75"/>
      <c r="W44" s="73"/>
      <c r="X44" s="74"/>
      <c r="Y44" s="74"/>
      <c r="Z44" s="74"/>
      <c r="AA44" s="74"/>
      <c r="AB44" s="74"/>
      <c r="AC44" s="75"/>
      <c r="AD44" s="73"/>
      <c r="AE44" s="74"/>
      <c r="AF44" s="74"/>
      <c r="AG44" s="74"/>
      <c r="AH44" s="74"/>
      <c r="AI44" s="74"/>
      <c r="AJ44" s="75"/>
      <c r="AK44" s="73"/>
      <c r="AL44" s="74"/>
      <c r="AM44" s="74"/>
      <c r="AN44" s="74"/>
      <c r="AO44" s="76"/>
      <c r="AQ44" s="235"/>
      <c r="AR44" s="235"/>
      <c r="AS44" s="235"/>
      <c r="AT44" s="235"/>
      <c r="AU44" s="235"/>
      <c r="AV44" s="235"/>
      <c r="AW44" s="235"/>
      <c r="BA44" s="1"/>
      <c r="BB44" s="1"/>
      <c r="BC44" s="1"/>
      <c r="BD44" s="1"/>
      <c r="BE44" s="1"/>
      <c r="BF44" s="1"/>
      <c r="BG44" s="1"/>
      <c r="BH44" s="1"/>
      <c r="BK44" s="215" t="s">
        <v>89</v>
      </c>
      <c r="BL44" s="215" t="s">
        <v>90</v>
      </c>
      <c r="BQ44" s="269" t="s">
        <v>167</v>
      </c>
    </row>
    <row r="45" spans="1:69" ht="12" customHeight="1">
      <c r="A45" s="9" t="s">
        <v>47</v>
      </c>
      <c r="B45" s="77"/>
      <c r="C45" s="78"/>
      <c r="D45" s="78"/>
      <c r="E45" s="78"/>
      <c r="F45" s="78"/>
      <c r="G45" s="78"/>
      <c r="H45" s="79"/>
      <c r="I45" s="77"/>
      <c r="J45" s="78"/>
      <c r="K45" s="78"/>
      <c r="L45" s="78"/>
      <c r="M45" s="78"/>
      <c r="N45" s="78"/>
      <c r="O45" s="79"/>
      <c r="P45" s="77"/>
      <c r="Q45" s="78"/>
      <c r="R45" s="78"/>
      <c r="S45" s="78"/>
      <c r="T45" s="78"/>
      <c r="U45" s="78"/>
      <c r="V45" s="79"/>
      <c r="W45" s="77"/>
      <c r="X45" s="78"/>
      <c r="Y45" s="78"/>
      <c r="Z45" s="78"/>
      <c r="AA45" s="78"/>
      <c r="AB45" s="78"/>
      <c r="AC45" s="79"/>
      <c r="AD45" s="77"/>
      <c r="AE45" s="78"/>
      <c r="AF45" s="78"/>
      <c r="AG45" s="78"/>
      <c r="AH45" s="78"/>
      <c r="AI45" s="78"/>
      <c r="AJ45" s="79"/>
      <c r="AK45" s="77"/>
      <c r="AL45" s="78"/>
      <c r="AM45" s="78"/>
      <c r="AN45" s="78"/>
      <c r="AO45" s="80"/>
      <c r="AQ45" s="235"/>
      <c r="AR45" s="235"/>
      <c r="AS45" s="235"/>
      <c r="AT45" s="235"/>
      <c r="AU45" s="235"/>
      <c r="AV45" s="235"/>
      <c r="AW45" s="235"/>
      <c r="BA45" s="1"/>
      <c r="BB45" s="1"/>
      <c r="BC45" s="1"/>
      <c r="BD45" s="1"/>
      <c r="BE45" s="1"/>
      <c r="BF45" s="1"/>
      <c r="BG45" s="1"/>
      <c r="BH45" s="1"/>
      <c r="BK45" s="220" t="s">
        <v>91</v>
      </c>
      <c r="BL45" s="215" t="s">
        <v>92</v>
      </c>
      <c r="BM45" s="221" t="s">
        <v>93</v>
      </c>
      <c r="BN45" s="221" t="s">
        <v>93</v>
      </c>
      <c r="BO45" s="222" t="s">
        <v>94</v>
      </c>
      <c r="BP45" s="223"/>
      <c r="BQ45" s="269" t="s">
        <v>168</v>
      </c>
    </row>
    <row r="46" spans="1:69" ht="12" customHeight="1">
      <c r="A46" s="7" t="s">
        <v>48</v>
      </c>
      <c r="B46" s="81"/>
      <c r="C46" s="82"/>
      <c r="D46" s="82"/>
      <c r="E46" s="82"/>
      <c r="F46" s="82"/>
      <c r="G46" s="82"/>
      <c r="H46" s="83"/>
      <c r="I46" s="81"/>
      <c r="J46" s="82"/>
      <c r="K46" s="82"/>
      <c r="L46" s="82"/>
      <c r="M46" s="82"/>
      <c r="N46" s="82"/>
      <c r="O46" s="83"/>
      <c r="P46" s="81"/>
      <c r="Q46" s="82"/>
      <c r="R46" s="82"/>
      <c r="S46" s="82"/>
      <c r="T46" s="82"/>
      <c r="U46" s="82"/>
      <c r="V46" s="83"/>
      <c r="W46" s="81"/>
      <c r="X46" s="82"/>
      <c r="Y46" s="82"/>
      <c r="Z46" s="82"/>
      <c r="AA46" s="82"/>
      <c r="AB46" s="82"/>
      <c r="AC46" s="83"/>
      <c r="AD46" s="81"/>
      <c r="AE46" s="82"/>
      <c r="AF46" s="82"/>
      <c r="AG46" s="82"/>
      <c r="AH46" s="82"/>
      <c r="AI46" s="82"/>
      <c r="AJ46" s="83"/>
      <c r="AK46" s="81"/>
      <c r="AL46" s="82"/>
      <c r="AM46" s="82"/>
      <c r="AN46" s="82"/>
      <c r="AO46" s="84"/>
      <c r="AQ46" s="235"/>
      <c r="AR46" s="235"/>
      <c r="AS46" s="235"/>
      <c r="AT46" s="235"/>
      <c r="AU46" s="235"/>
      <c r="AV46" s="235"/>
      <c r="AW46" s="235"/>
      <c r="BA46" s="1"/>
      <c r="BB46" s="1"/>
      <c r="BC46" s="1"/>
      <c r="BD46" s="1"/>
      <c r="BE46" s="1"/>
      <c r="BF46" s="1"/>
      <c r="BG46" s="1"/>
      <c r="BH46" s="1"/>
      <c r="BK46" s="224" t="s">
        <v>95</v>
      </c>
      <c r="BL46" s="215" t="s">
        <v>96</v>
      </c>
      <c r="BM46" s="1"/>
      <c r="BN46" s="215">
        <v>1</v>
      </c>
      <c r="BO46" s="225"/>
      <c r="BQ46" s="269" t="s">
        <v>169</v>
      </c>
    </row>
    <row r="47" spans="1:69" ht="12" customHeight="1">
      <c r="A47" s="7" t="s">
        <v>4</v>
      </c>
      <c r="B47" s="81"/>
      <c r="C47" s="82"/>
      <c r="D47" s="82"/>
      <c r="E47" s="82"/>
      <c r="F47" s="82"/>
      <c r="G47" s="82"/>
      <c r="H47" s="83"/>
      <c r="I47" s="81"/>
      <c r="J47" s="82"/>
      <c r="K47" s="82"/>
      <c r="L47" s="82"/>
      <c r="M47" s="82"/>
      <c r="N47" s="82"/>
      <c r="O47" s="83"/>
      <c r="P47" s="81"/>
      <c r="Q47" s="82"/>
      <c r="R47" s="82"/>
      <c r="S47" s="82"/>
      <c r="T47" s="82"/>
      <c r="U47" s="82"/>
      <c r="V47" s="83"/>
      <c r="W47" s="81"/>
      <c r="X47" s="82"/>
      <c r="Y47" s="82"/>
      <c r="Z47" s="82"/>
      <c r="AA47" s="82"/>
      <c r="AB47" s="82"/>
      <c r="AC47" s="83"/>
      <c r="AD47" s="81"/>
      <c r="AE47" s="82"/>
      <c r="AF47" s="82"/>
      <c r="AG47" s="82"/>
      <c r="AH47" s="82"/>
      <c r="AI47" s="82"/>
      <c r="AJ47" s="83"/>
      <c r="AK47" s="81"/>
      <c r="AL47" s="82"/>
      <c r="AM47" s="82"/>
      <c r="AN47" s="82"/>
      <c r="AO47" s="84"/>
      <c r="AQ47" s="235"/>
      <c r="AR47" s="235"/>
      <c r="AS47" s="235"/>
      <c r="AT47" s="235"/>
      <c r="AU47" s="235"/>
      <c r="AV47" s="235"/>
      <c r="AW47" s="235"/>
      <c r="BA47" s="1"/>
      <c r="BB47" s="1"/>
      <c r="BC47" s="1"/>
      <c r="BD47" s="1"/>
      <c r="BE47" s="1"/>
      <c r="BF47" s="1"/>
      <c r="BG47" s="1"/>
      <c r="BH47" s="1"/>
      <c r="BK47" s="226" t="s">
        <v>97</v>
      </c>
      <c r="BM47" s="220" t="s">
        <v>91</v>
      </c>
      <c r="BN47" s="215">
        <v>2</v>
      </c>
      <c r="BQ47" s="269" t="s">
        <v>170</v>
      </c>
    </row>
    <row r="48" spans="1:69" ht="12" customHeight="1">
      <c r="A48" s="7" t="s">
        <v>49</v>
      </c>
      <c r="B48" s="81"/>
      <c r="C48" s="82"/>
      <c r="D48" s="82"/>
      <c r="E48" s="82"/>
      <c r="F48" s="82"/>
      <c r="G48" s="82"/>
      <c r="H48" s="83"/>
      <c r="I48" s="81"/>
      <c r="J48" s="82"/>
      <c r="K48" s="82"/>
      <c r="L48" s="82"/>
      <c r="M48" s="82"/>
      <c r="N48" s="82"/>
      <c r="O48" s="83"/>
      <c r="P48" s="81"/>
      <c r="Q48" s="82"/>
      <c r="R48" s="82"/>
      <c r="S48" s="82"/>
      <c r="T48" s="82"/>
      <c r="U48" s="82"/>
      <c r="V48" s="83"/>
      <c r="W48" s="81"/>
      <c r="X48" s="82"/>
      <c r="Y48" s="82"/>
      <c r="Z48" s="82"/>
      <c r="AA48" s="82"/>
      <c r="AB48" s="82"/>
      <c r="AC48" s="83"/>
      <c r="AD48" s="81"/>
      <c r="AE48" s="82"/>
      <c r="AF48" s="82"/>
      <c r="AG48" s="82"/>
      <c r="AH48" s="82"/>
      <c r="AI48" s="82"/>
      <c r="AJ48" s="83"/>
      <c r="AK48" s="81"/>
      <c r="AL48" s="82"/>
      <c r="AM48" s="82"/>
      <c r="AN48" s="82"/>
      <c r="AO48" s="84"/>
      <c r="AQ48" s="235"/>
      <c r="AR48" s="235"/>
      <c r="AS48" s="235"/>
      <c r="AT48" s="235"/>
      <c r="AU48" s="235"/>
      <c r="AV48" s="235"/>
      <c r="AW48" s="235"/>
      <c r="BA48" s="1"/>
      <c r="BB48" s="1"/>
      <c r="BC48" s="1"/>
      <c r="BD48" s="1"/>
      <c r="BE48" s="1"/>
      <c r="BF48" s="1"/>
      <c r="BG48" s="1"/>
      <c r="BH48" s="1"/>
      <c r="BN48" s="215">
        <v>3</v>
      </c>
      <c r="BQ48" s="269" t="s">
        <v>171</v>
      </c>
    </row>
    <row r="49" spans="1:69" ht="12" customHeight="1">
      <c r="A49" s="7" t="s">
        <v>61</v>
      </c>
      <c r="B49" s="81"/>
      <c r="C49" s="82"/>
      <c r="D49" s="82"/>
      <c r="E49" s="82"/>
      <c r="F49" s="82"/>
      <c r="G49" s="82"/>
      <c r="H49" s="83"/>
      <c r="I49" s="81"/>
      <c r="J49" s="82"/>
      <c r="K49" s="82"/>
      <c r="L49" s="82"/>
      <c r="M49" s="82"/>
      <c r="N49" s="82"/>
      <c r="O49" s="83"/>
      <c r="P49" s="81"/>
      <c r="Q49" s="82"/>
      <c r="R49" s="82"/>
      <c r="S49" s="82"/>
      <c r="T49" s="82"/>
      <c r="U49" s="82"/>
      <c r="V49" s="83"/>
      <c r="W49" s="81"/>
      <c r="X49" s="82"/>
      <c r="Y49" s="82"/>
      <c r="Z49" s="82"/>
      <c r="AA49" s="82"/>
      <c r="AB49" s="82"/>
      <c r="AC49" s="83"/>
      <c r="AD49" s="81"/>
      <c r="AE49" s="82"/>
      <c r="AF49" s="82"/>
      <c r="AG49" s="82"/>
      <c r="AH49" s="82"/>
      <c r="AI49" s="82"/>
      <c r="AJ49" s="83"/>
      <c r="AK49" s="81"/>
      <c r="AL49" s="82"/>
      <c r="AM49" s="82"/>
      <c r="AN49" s="82"/>
      <c r="AO49" s="84"/>
      <c r="AQ49" s="235"/>
      <c r="AR49" s="235"/>
      <c r="AS49" s="235"/>
      <c r="AT49" s="235"/>
      <c r="AU49" s="235"/>
      <c r="AV49" s="235"/>
      <c r="AW49" s="235"/>
      <c r="BA49" s="1"/>
      <c r="BB49" s="1"/>
      <c r="BC49" s="1"/>
      <c r="BD49" s="1"/>
      <c r="BE49" s="1"/>
      <c r="BF49" s="1"/>
      <c r="BG49" s="1"/>
      <c r="BH49" s="1"/>
      <c r="BN49" s="215">
        <v>4</v>
      </c>
      <c r="BQ49" s="269" t="s">
        <v>172</v>
      </c>
    </row>
    <row r="50" spans="1:69" ht="12" customHeight="1" thickBot="1">
      <c r="A50" s="8" t="s">
        <v>62</v>
      </c>
      <c r="B50" s="85"/>
      <c r="C50" s="86"/>
      <c r="D50" s="86"/>
      <c r="E50" s="86"/>
      <c r="F50" s="86"/>
      <c r="G50" s="86"/>
      <c r="H50" s="87"/>
      <c r="I50" s="85"/>
      <c r="J50" s="86"/>
      <c r="K50" s="86"/>
      <c r="L50" s="86"/>
      <c r="M50" s="86"/>
      <c r="N50" s="86"/>
      <c r="O50" s="87"/>
      <c r="P50" s="85"/>
      <c r="Q50" s="86"/>
      <c r="R50" s="86"/>
      <c r="S50" s="86"/>
      <c r="T50" s="86"/>
      <c r="U50" s="86"/>
      <c r="V50" s="87"/>
      <c r="W50" s="85"/>
      <c r="X50" s="86"/>
      <c r="Y50" s="86"/>
      <c r="Z50" s="86"/>
      <c r="AA50" s="86"/>
      <c r="AB50" s="86"/>
      <c r="AC50" s="87"/>
      <c r="AD50" s="85"/>
      <c r="AE50" s="86"/>
      <c r="AF50" s="86"/>
      <c r="AG50" s="86"/>
      <c r="AH50" s="86"/>
      <c r="AI50" s="86"/>
      <c r="AJ50" s="87"/>
      <c r="AK50" s="85"/>
      <c r="AL50" s="86"/>
      <c r="AM50" s="86"/>
      <c r="AN50" s="86"/>
      <c r="AO50" s="88"/>
      <c r="AQ50" s="235"/>
      <c r="AR50" s="235"/>
      <c r="AS50" s="235"/>
      <c r="AT50" s="235"/>
      <c r="AU50" s="235"/>
      <c r="AV50" s="235"/>
      <c r="AW50" s="235"/>
      <c r="BA50" s="1"/>
      <c r="BB50" s="1"/>
      <c r="BC50" s="1"/>
      <c r="BD50" s="1"/>
      <c r="BE50" s="1"/>
      <c r="BF50" s="1"/>
      <c r="BG50" s="1"/>
      <c r="BH50" s="1"/>
      <c r="BQ50" s="269" t="s">
        <v>173</v>
      </c>
    </row>
    <row r="51" spans="1:69" ht="12" customHeight="1">
      <c r="A51" s="9" t="s">
        <v>50</v>
      </c>
      <c r="B51" s="89"/>
      <c r="C51" s="90"/>
      <c r="D51" s="90"/>
      <c r="E51" s="90"/>
      <c r="F51" s="90"/>
      <c r="G51" s="90"/>
      <c r="H51" s="91"/>
      <c r="I51" s="89"/>
      <c r="J51" s="90"/>
      <c r="K51" s="90"/>
      <c r="L51" s="90"/>
      <c r="M51" s="90"/>
      <c r="N51" s="90"/>
      <c r="O51" s="91"/>
      <c r="P51" s="89"/>
      <c r="Q51" s="90"/>
      <c r="R51" s="90"/>
      <c r="S51" s="90"/>
      <c r="T51" s="90"/>
      <c r="U51" s="90"/>
      <c r="V51" s="91"/>
      <c r="W51" s="89"/>
      <c r="X51" s="90"/>
      <c r="Y51" s="90"/>
      <c r="Z51" s="90"/>
      <c r="AA51" s="90"/>
      <c r="AB51" s="90"/>
      <c r="AC51" s="91"/>
      <c r="AD51" s="89"/>
      <c r="AE51" s="90"/>
      <c r="AF51" s="90"/>
      <c r="AG51" s="90"/>
      <c r="AH51" s="90"/>
      <c r="AI51" s="90"/>
      <c r="AJ51" s="91"/>
      <c r="AK51" s="89"/>
      <c r="AL51" s="90"/>
      <c r="AM51" s="90"/>
      <c r="AN51" s="90"/>
      <c r="AO51" s="92"/>
      <c r="AQ51" s="235"/>
      <c r="AR51" s="235"/>
      <c r="AS51" s="235"/>
      <c r="AT51" s="235"/>
      <c r="AU51" s="235"/>
      <c r="AV51" s="235"/>
      <c r="AW51" s="235"/>
      <c r="BA51" s="1"/>
      <c r="BB51" s="1"/>
      <c r="BC51" s="1"/>
      <c r="BD51" s="1"/>
      <c r="BE51" s="1"/>
      <c r="BF51" s="1"/>
      <c r="BG51" s="1"/>
      <c r="BH51" s="1"/>
      <c r="BQ51" s="269" t="s">
        <v>174</v>
      </c>
    </row>
    <row r="52" spans="1:69" ht="12" customHeight="1">
      <c r="A52" s="7" t="s">
        <v>58</v>
      </c>
      <c r="B52" s="93"/>
      <c r="C52" s="94"/>
      <c r="D52" s="94"/>
      <c r="E52" s="94"/>
      <c r="F52" s="94"/>
      <c r="G52" s="94"/>
      <c r="H52" s="95"/>
      <c r="I52" s="93"/>
      <c r="J52" s="94"/>
      <c r="K52" s="94"/>
      <c r="L52" s="94"/>
      <c r="M52" s="94"/>
      <c r="N52" s="94"/>
      <c r="O52" s="95"/>
      <c r="P52" s="93"/>
      <c r="Q52" s="94"/>
      <c r="R52" s="94"/>
      <c r="S52" s="94"/>
      <c r="T52" s="94"/>
      <c r="U52" s="94"/>
      <c r="V52" s="95"/>
      <c r="W52" s="93"/>
      <c r="X52" s="94"/>
      <c r="Y52" s="94"/>
      <c r="Z52" s="94"/>
      <c r="AA52" s="94"/>
      <c r="AB52" s="94"/>
      <c r="AC52" s="95"/>
      <c r="AD52" s="93"/>
      <c r="AE52" s="94"/>
      <c r="AF52" s="94"/>
      <c r="AG52" s="94"/>
      <c r="AH52" s="94"/>
      <c r="AI52" s="94"/>
      <c r="AJ52" s="95"/>
      <c r="AK52" s="93"/>
      <c r="AL52" s="94"/>
      <c r="AM52" s="94"/>
      <c r="AN52" s="94"/>
      <c r="AO52" s="96"/>
      <c r="AQ52" s="235"/>
      <c r="AR52" s="235"/>
      <c r="AS52" s="235"/>
      <c r="AT52" s="235"/>
      <c r="AU52" s="235"/>
      <c r="AV52" s="235"/>
      <c r="AW52" s="235"/>
      <c r="BA52" s="1"/>
      <c r="BB52" s="1"/>
      <c r="BC52" s="1"/>
      <c r="BD52" s="1"/>
      <c r="BE52" s="1"/>
      <c r="BF52" s="1"/>
      <c r="BG52" s="1"/>
      <c r="BH52" s="1"/>
      <c r="BQ52" s="269" t="s">
        <v>175</v>
      </c>
    </row>
    <row r="53" spans="1:69" ht="12" customHeight="1">
      <c r="A53" s="7" t="s">
        <v>63</v>
      </c>
      <c r="B53" s="93"/>
      <c r="C53" s="94"/>
      <c r="D53" s="94"/>
      <c r="E53" s="94"/>
      <c r="F53" s="94"/>
      <c r="G53" s="94"/>
      <c r="H53" s="95"/>
      <c r="I53" s="93"/>
      <c r="J53" s="94"/>
      <c r="K53" s="94"/>
      <c r="L53" s="94"/>
      <c r="M53" s="94"/>
      <c r="N53" s="94"/>
      <c r="O53" s="95"/>
      <c r="P53" s="93"/>
      <c r="Q53" s="94"/>
      <c r="R53" s="94"/>
      <c r="S53" s="94"/>
      <c r="T53" s="94"/>
      <c r="U53" s="94"/>
      <c r="V53" s="95"/>
      <c r="W53" s="93"/>
      <c r="X53" s="94"/>
      <c r="Y53" s="94"/>
      <c r="Z53" s="94"/>
      <c r="AA53" s="94"/>
      <c r="AB53" s="94"/>
      <c r="AC53" s="95"/>
      <c r="AD53" s="93"/>
      <c r="AE53" s="94"/>
      <c r="AF53" s="94"/>
      <c r="AG53" s="94"/>
      <c r="AH53" s="94"/>
      <c r="AI53" s="94"/>
      <c r="AJ53" s="95"/>
      <c r="AK53" s="93"/>
      <c r="AL53" s="94"/>
      <c r="AM53" s="94"/>
      <c r="AN53" s="94"/>
      <c r="AO53" s="96"/>
      <c r="AQ53" s="235"/>
      <c r="AR53" s="235"/>
      <c r="AS53" s="235"/>
      <c r="AT53" s="235"/>
      <c r="AU53" s="235"/>
      <c r="AV53" s="235"/>
      <c r="AW53" s="235"/>
      <c r="BA53" s="1"/>
      <c r="BB53" s="1"/>
      <c r="BC53" s="1"/>
      <c r="BD53" s="1"/>
      <c r="BE53" s="1"/>
      <c r="BF53" s="1"/>
      <c r="BG53" s="1"/>
      <c r="BH53" s="1"/>
      <c r="BQ53" s="269" t="s">
        <v>176</v>
      </c>
    </row>
    <row r="54" spans="1:69" ht="12" customHeight="1">
      <c r="A54" s="7" t="s">
        <v>5</v>
      </c>
      <c r="B54" s="93"/>
      <c r="C54" s="94"/>
      <c r="D54" s="94"/>
      <c r="E54" s="94"/>
      <c r="F54" s="94"/>
      <c r="G54" s="94"/>
      <c r="H54" s="95"/>
      <c r="I54" s="93"/>
      <c r="J54" s="94"/>
      <c r="K54" s="94"/>
      <c r="L54" s="94"/>
      <c r="M54" s="94"/>
      <c r="N54" s="94"/>
      <c r="O54" s="95"/>
      <c r="P54" s="93"/>
      <c r="Q54" s="94"/>
      <c r="R54" s="94"/>
      <c r="S54" s="94"/>
      <c r="T54" s="94"/>
      <c r="U54" s="94"/>
      <c r="V54" s="95"/>
      <c r="W54" s="93"/>
      <c r="X54" s="94"/>
      <c r="Y54" s="94"/>
      <c r="Z54" s="94"/>
      <c r="AA54" s="94"/>
      <c r="AB54" s="94"/>
      <c r="AC54" s="95"/>
      <c r="AD54" s="93"/>
      <c r="AE54" s="94"/>
      <c r="AF54" s="94"/>
      <c r="AG54" s="94"/>
      <c r="AH54" s="94"/>
      <c r="AI54" s="94"/>
      <c r="AJ54" s="95"/>
      <c r="AK54" s="93"/>
      <c r="AL54" s="94"/>
      <c r="AM54" s="94"/>
      <c r="AN54" s="94"/>
      <c r="AO54" s="96"/>
      <c r="AQ54" s="235"/>
      <c r="AR54" s="235"/>
      <c r="AS54" s="235"/>
      <c r="AT54" s="235"/>
      <c r="AU54" s="235"/>
      <c r="AV54" s="235"/>
      <c r="AW54" s="235"/>
      <c r="BA54" s="1"/>
      <c r="BB54" s="1"/>
      <c r="BC54" s="1"/>
      <c r="BD54" s="1"/>
      <c r="BE54" s="1"/>
      <c r="BF54" s="1"/>
      <c r="BG54" s="1"/>
      <c r="BH54" s="1"/>
      <c r="BQ54" s="269" t="s">
        <v>177</v>
      </c>
    </row>
    <row r="55" spans="1:69" ht="12" customHeight="1">
      <c r="A55" s="10" t="s">
        <v>64</v>
      </c>
      <c r="B55" s="93"/>
      <c r="C55" s="94"/>
      <c r="D55" s="94"/>
      <c r="E55" s="94"/>
      <c r="F55" s="94"/>
      <c r="G55" s="94"/>
      <c r="H55" s="95"/>
      <c r="I55" s="93"/>
      <c r="J55" s="94"/>
      <c r="K55" s="94"/>
      <c r="L55" s="94"/>
      <c r="M55" s="94"/>
      <c r="N55" s="94"/>
      <c r="O55" s="95"/>
      <c r="P55" s="93"/>
      <c r="Q55" s="94"/>
      <c r="R55" s="94"/>
      <c r="S55" s="94"/>
      <c r="T55" s="94"/>
      <c r="U55" s="94"/>
      <c r="V55" s="95"/>
      <c r="W55" s="93"/>
      <c r="X55" s="94"/>
      <c r="Y55" s="94"/>
      <c r="Z55" s="94"/>
      <c r="AA55" s="94"/>
      <c r="AB55" s="94"/>
      <c r="AC55" s="95"/>
      <c r="AD55" s="93"/>
      <c r="AE55" s="94"/>
      <c r="AF55" s="94"/>
      <c r="AG55" s="94"/>
      <c r="AH55" s="94"/>
      <c r="AI55" s="94"/>
      <c r="AJ55" s="95"/>
      <c r="AK55" s="93"/>
      <c r="AL55" s="94"/>
      <c r="AM55" s="94"/>
      <c r="AN55" s="94"/>
      <c r="AO55" s="96"/>
      <c r="AQ55" s="235"/>
      <c r="AR55" s="235"/>
      <c r="AS55" s="235"/>
      <c r="AT55" s="235"/>
      <c r="AU55" s="235"/>
      <c r="AV55" s="235"/>
      <c r="AW55" s="235"/>
      <c r="BA55" s="1"/>
      <c r="BB55" s="1"/>
      <c r="BC55" s="1"/>
      <c r="BD55" s="1"/>
      <c r="BE55" s="1"/>
      <c r="BF55" s="1"/>
      <c r="BG55" s="1"/>
      <c r="BH55" s="1"/>
      <c r="BQ55" s="269" t="s">
        <v>178</v>
      </c>
    </row>
    <row r="56" spans="1:69" ht="12" customHeight="1" thickBot="1">
      <c r="A56" s="213" t="s">
        <v>6</v>
      </c>
      <c r="B56" s="59"/>
      <c r="C56" s="60"/>
      <c r="D56" s="60"/>
      <c r="E56" s="60"/>
      <c r="F56" s="60"/>
      <c r="G56" s="60"/>
      <c r="H56" s="97"/>
      <c r="I56" s="59"/>
      <c r="J56" s="60"/>
      <c r="K56" s="60"/>
      <c r="L56" s="60"/>
      <c r="M56" s="60"/>
      <c r="N56" s="60"/>
      <c r="O56" s="112"/>
      <c r="P56" s="113"/>
      <c r="Q56" s="114"/>
      <c r="R56" s="60"/>
      <c r="S56" s="60"/>
      <c r="T56" s="60"/>
      <c r="U56" s="60"/>
      <c r="V56" s="97"/>
      <c r="W56" s="59"/>
      <c r="X56" s="60"/>
      <c r="Y56" s="60"/>
      <c r="Z56" s="60"/>
      <c r="AA56" s="60"/>
      <c r="AB56" s="60"/>
      <c r="AC56" s="97"/>
      <c r="AD56" s="59"/>
      <c r="AE56" s="60"/>
      <c r="AF56" s="60"/>
      <c r="AG56" s="60"/>
      <c r="AH56" s="60"/>
      <c r="AI56" s="60"/>
      <c r="AJ56" s="97"/>
      <c r="AK56" s="59"/>
      <c r="AL56" s="60"/>
      <c r="AM56" s="60"/>
      <c r="AN56" s="60"/>
      <c r="AO56" s="98"/>
      <c r="BA56" s="1"/>
      <c r="BB56" s="1"/>
      <c r="BC56" s="1"/>
      <c r="BD56" s="1"/>
      <c r="BE56" s="1"/>
      <c r="BF56" s="1"/>
      <c r="BG56" s="1"/>
      <c r="BH56" s="1"/>
      <c r="BQ56" s="269" t="s">
        <v>179</v>
      </c>
    </row>
    <row r="57" spans="1:69">
      <c r="A57" s="9" t="s">
        <v>7</v>
      </c>
      <c r="B57" s="161">
        <v>1</v>
      </c>
      <c r="C57" s="162">
        <v>2</v>
      </c>
      <c r="D57" s="162">
        <v>3</v>
      </c>
      <c r="E57" s="162">
        <v>4</v>
      </c>
      <c r="F57" s="162">
        <v>5</v>
      </c>
      <c r="G57" s="162">
        <v>6</v>
      </c>
      <c r="H57" s="163">
        <v>7</v>
      </c>
      <c r="I57" s="161">
        <v>8</v>
      </c>
      <c r="J57" s="162">
        <v>9</v>
      </c>
      <c r="K57" s="162">
        <v>10</v>
      </c>
      <c r="L57" s="162">
        <v>11</v>
      </c>
      <c r="M57" s="162">
        <v>12</v>
      </c>
      <c r="N57" s="162">
        <v>13</v>
      </c>
      <c r="O57" s="163">
        <v>14</v>
      </c>
      <c r="P57" s="161">
        <v>15</v>
      </c>
      <c r="Q57" s="162">
        <v>16</v>
      </c>
      <c r="R57" s="162">
        <v>17</v>
      </c>
      <c r="S57" s="162">
        <v>18</v>
      </c>
      <c r="T57" s="162">
        <v>19</v>
      </c>
      <c r="U57" s="162">
        <v>20</v>
      </c>
      <c r="V57" s="163">
        <v>21</v>
      </c>
      <c r="W57" s="161">
        <v>22</v>
      </c>
      <c r="X57" s="162">
        <v>23</v>
      </c>
      <c r="Y57" s="162">
        <v>24</v>
      </c>
      <c r="Z57" s="162">
        <v>25</v>
      </c>
      <c r="AA57" s="162">
        <v>26</v>
      </c>
      <c r="AB57" s="162">
        <v>27</v>
      </c>
      <c r="AC57" s="163">
        <v>28</v>
      </c>
      <c r="AD57" s="161">
        <v>29</v>
      </c>
      <c r="AE57" s="162">
        <v>30</v>
      </c>
      <c r="AF57" s="162">
        <v>31</v>
      </c>
      <c r="AG57" s="162">
        <v>32</v>
      </c>
      <c r="AH57" s="162">
        <v>33</v>
      </c>
      <c r="AI57" s="162">
        <v>34</v>
      </c>
      <c r="AJ57" s="163">
        <v>35</v>
      </c>
      <c r="AK57" s="161">
        <v>36</v>
      </c>
      <c r="AL57" s="162">
        <v>37</v>
      </c>
      <c r="AM57" s="162">
        <v>38</v>
      </c>
      <c r="AN57" s="162">
        <v>39</v>
      </c>
      <c r="AO57" s="164">
        <v>40</v>
      </c>
      <c r="BQ57" s="269" t="s">
        <v>180</v>
      </c>
    </row>
    <row r="58" spans="1:69" ht="13.5" thickBot="1">
      <c r="A58" s="8" t="s">
        <v>65</v>
      </c>
      <c r="B58" s="41"/>
      <c r="C58" s="42"/>
      <c r="D58" s="42"/>
      <c r="E58" s="42"/>
      <c r="F58" s="42"/>
      <c r="G58" s="42"/>
      <c r="H58" s="43"/>
      <c r="I58" s="41"/>
      <c r="J58" s="42"/>
      <c r="K58" s="42"/>
      <c r="L58" s="42"/>
      <c r="M58" s="42"/>
      <c r="N58" s="42"/>
      <c r="O58" s="43"/>
      <c r="P58" s="41"/>
      <c r="Q58" s="42"/>
      <c r="R58" s="42"/>
      <c r="S58" s="42"/>
      <c r="T58" s="42"/>
      <c r="U58" s="42"/>
      <c r="V58" s="43"/>
      <c r="W58" s="41"/>
      <c r="X58" s="42"/>
      <c r="Y58" s="42"/>
      <c r="Z58" s="42"/>
      <c r="AA58" s="42"/>
      <c r="AB58" s="42"/>
      <c r="AC58" s="43"/>
      <c r="AD58" s="41"/>
      <c r="AE58" s="42"/>
      <c r="AF58" s="42"/>
      <c r="AG58" s="42"/>
      <c r="AH58" s="42"/>
      <c r="AI58" s="42"/>
      <c r="AJ58" s="43"/>
      <c r="AK58" s="41"/>
      <c r="AL58" s="42"/>
      <c r="AM58" s="42"/>
      <c r="AN58" s="42"/>
      <c r="AO58" s="44"/>
      <c r="BQ58" s="269" t="s">
        <v>181</v>
      </c>
    </row>
    <row r="59" spans="1:69" s="6" customFormat="1" ht="15" customHeight="1" thickBot="1">
      <c r="A59" s="11" t="s">
        <v>8</v>
      </c>
      <c r="BI59" s="227"/>
      <c r="BJ59" s="227"/>
      <c r="BK59" s="227"/>
      <c r="BL59" s="227"/>
      <c r="BM59" s="227"/>
      <c r="BN59" s="227"/>
      <c r="BO59" s="227"/>
      <c r="BP59" s="227"/>
      <c r="BQ59" s="269" t="s">
        <v>182</v>
      </c>
    </row>
    <row r="60" spans="1:69">
      <c r="A60" s="182" t="s">
        <v>9</v>
      </c>
      <c r="B60" s="47"/>
      <c r="C60" s="48"/>
      <c r="D60" s="48"/>
      <c r="E60" s="48"/>
      <c r="F60" s="48"/>
      <c r="G60" s="48"/>
      <c r="H60" s="37"/>
      <c r="I60" s="35"/>
      <c r="J60" s="129"/>
      <c r="K60" s="129"/>
      <c r="L60" s="129"/>
      <c r="M60" s="129"/>
      <c r="N60" s="129"/>
      <c r="O60" s="37"/>
      <c r="P60" s="35"/>
      <c r="Q60" s="130"/>
      <c r="R60" s="130"/>
      <c r="S60" s="130"/>
      <c r="T60" s="130"/>
      <c r="U60" s="130"/>
      <c r="V60" s="37"/>
      <c r="W60" s="35"/>
      <c r="X60" s="130"/>
      <c r="Y60" s="130"/>
      <c r="Z60" s="130"/>
      <c r="AA60" s="130"/>
      <c r="AB60" s="130"/>
      <c r="AC60" s="37"/>
      <c r="AD60" s="35"/>
      <c r="AE60" s="130"/>
      <c r="AF60" s="130"/>
      <c r="AG60" s="130"/>
      <c r="AH60" s="36"/>
      <c r="AI60" s="36"/>
      <c r="AJ60" s="37"/>
      <c r="AK60" s="35"/>
      <c r="AL60" s="36"/>
      <c r="AM60" s="36"/>
      <c r="AN60" s="36"/>
      <c r="AO60" s="214"/>
      <c r="AP60"/>
      <c r="BQ60" s="269" t="s">
        <v>183</v>
      </c>
    </row>
    <row r="61" spans="1:69" ht="12" customHeight="1">
      <c r="A61" s="275" t="s">
        <v>10</v>
      </c>
      <c r="B61" s="247"/>
      <c r="C61" s="248"/>
      <c r="D61" s="249"/>
      <c r="E61" s="248"/>
      <c r="F61" s="248"/>
      <c r="G61" s="248"/>
      <c r="H61" s="250"/>
      <c r="I61" s="251"/>
      <c r="J61" s="248"/>
      <c r="K61" s="248"/>
      <c r="L61" s="248"/>
      <c r="M61" s="248"/>
      <c r="N61" s="248"/>
      <c r="O61" s="250"/>
      <c r="P61" s="251"/>
      <c r="Q61" s="248"/>
      <c r="R61" s="248"/>
      <c r="S61" s="248"/>
      <c r="T61" s="248"/>
      <c r="U61" s="248"/>
      <c r="V61" s="250"/>
      <c r="W61" s="251"/>
      <c r="X61" s="248"/>
      <c r="Y61" s="248"/>
      <c r="Z61" s="248"/>
      <c r="AA61" s="248"/>
      <c r="AB61" s="248"/>
      <c r="AC61" s="250"/>
      <c r="AD61" s="251"/>
      <c r="AE61" s="248"/>
      <c r="AF61" s="248"/>
      <c r="AG61" s="248"/>
      <c r="AH61" s="248"/>
      <c r="AI61" s="248"/>
      <c r="AJ61" s="250"/>
      <c r="AK61" s="251"/>
      <c r="AL61" s="248"/>
      <c r="AM61" s="248"/>
      <c r="AN61" s="248"/>
      <c r="AO61" s="252"/>
      <c r="AP61"/>
      <c r="BQ61" s="269" t="s">
        <v>184</v>
      </c>
    </row>
    <row r="62" spans="1:69" ht="10.35" customHeight="1">
      <c r="A62" s="276"/>
      <c r="B62" s="247"/>
      <c r="C62" s="248"/>
      <c r="D62" s="248"/>
      <c r="E62" s="248"/>
      <c r="F62" s="248"/>
      <c r="G62" s="248"/>
      <c r="H62" s="253"/>
      <c r="I62" s="251"/>
      <c r="J62" s="248"/>
      <c r="K62" s="248"/>
      <c r="L62" s="248"/>
      <c r="M62" s="248"/>
      <c r="N62" s="248"/>
      <c r="O62" s="253"/>
      <c r="P62" s="251"/>
      <c r="Q62" s="248"/>
      <c r="R62" s="248"/>
      <c r="S62" s="248"/>
      <c r="T62" s="248"/>
      <c r="U62" s="248"/>
      <c r="V62" s="253"/>
      <c r="W62" s="251"/>
      <c r="X62" s="248"/>
      <c r="Y62" s="248"/>
      <c r="Z62" s="248"/>
      <c r="AA62" s="248"/>
      <c r="AB62" s="248"/>
      <c r="AC62" s="253"/>
      <c r="AD62" s="251"/>
      <c r="AE62" s="248"/>
      <c r="AF62" s="248"/>
      <c r="AG62" s="248"/>
      <c r="AH62" s="248"/>
      <c r="AI62" s="248"/>
      <c r="AJ62" s="253"/>
      <c r="AK62" s="251"/>
      <c r="AL62" s="248"/>
      <c r="AM62" s="248"/>
      <c r="AN62" s="254"/>
      <c r="AO62" s="252"/>
      <c r="AP62"/>
      <c r="BQ62" s="269" t="s">
        <v>185</v>
      </c>
    </row>
    <row r="63" spans="1:69" ht="13.35" customHeight="1" thickBot="1">
      <c r="A63" s="277"/>
      <c r="B63" s="255"/>
      <c r="C63" s="256"/>
      <c r="D63" s="256"/>
      <c r="E63" s="256"/>
      <c r="F63" s="256"/>
      <c r="G63" s="256"/>
      <c r="H63" s="257"/>
      <c r="I63" s="258"/>
      <c r="J63" s="256"/>
      <c r="K63" s="256"/>
      <c r="L63" s="256"/>
      <c r="M63" s="256"/>
      <c r="N63" s="256"/>
      <c r="O63" s="257"/>
      <c r="P63" s="258"/>
      <c r="Q63" s="256"/>
      <c r="R63" s="256"/>
      <c r="S63" s="256"/>
      <c r="T63" s="256"/>
      <c r="U63" s="256"/>
      <c r="V63" s="257"/>
      <c r="W63" s="258"/>
      <c r="X63" s="256"/>
      <c r="Y63" s="256"/>
      <c r="Z63" s="256"/>
      <c r="AA63" s="256"/>
      <c r="AB63" s="256"/>
      <c r="AC63" s="257"/>
      <c r="AD63" s="258"/>
      <c r="AE63" s="256"/>
      <c r="AF63" s="256"/>
      <c r="AG63" s="256"/>
      <c r="AH63" s="256"/>
      <c r="AI63" s="259"/>
      <c r="AJ63" s="257"/>
      <c r="AK63" s="258"/>
      <c r="AL63" s="259"/>
      <c r="AM63" s="259"/>
      <c r="AN63" s="260"/>
      <c r="AO63" s="261"/>
      <c r="AP63"/>
      <c r="BQ63" s="269" t="s">
        <v>186</v>
      </c>
    </row>
    <row r="64" spans="1:69" ht="15" customHeight="1" thickBot="1">
      <c r="A64" s="11" t="s">
        <v>11</v>
      </c>
      <c r="H64" s="1"/>
      <c r="O64" s="1"/>
      <c r="P64" s="111"/>
      <c r="Q64" s="111"/>
      <c r="R64" s="111"/>
      <c r="V64" s="1"/>
      <c r="X64" s="5"/>
      <c r="Y64" s="5"/>
      <c r="Z64" s="5"/>
      <c r="AA64" s="5"/>
      <c r="AC64" s="1"/>
      <c r="AJ64" s="1"/>
      <c r="BA64" s="1"/>
      <c r="BB64" s="1"/>
      <c r="BC64" s="1"/>
      <c r="BD64" s="1"/>
      <c r="BE64" s="1"/>
      <c r="BF64" s="1"/>
      <c r="BG64" s="1"/>
      <c r="BH64" s="1"/>
      <c r="BQ64" s="269" t="s">
        <v>187</v>
      </c>
    </row>
    <row r="65" spans="1:69" ht="12" customHeight="1">
      <c r="A65" s="183" t="s">
        <v>12</v>
      </c>
      <c r="B65" s="25"/>
      <c r="C65" s="26"/>
      <c r="D65" s="26"/>
      <c r="E65" s="26"/>
      <c r="F65" s="26"/>
      <c r="G65" s="26"/>
      <c r="H65" s="27"/>
      <c r="I65" s="25"/>
      <c r="J65" s="26"/>
      <c r="K65" s="26"/>
      <c r="L65" s="26"/>
      <c r="M65" s="26"/>
      <c r="N65" s="26"/>
      <c r="O65" s="27"/>
      <c r="P65" s="25"/>
      <c r="Q65" s="26"/>
      <c r="R65" s="26"/>
      <c r="S65" s="26"/>
      <c r="T65" s="26"/>
      <c r="U65" s="26"/>
      <c r="V65" s="27"/>
      <c r="W65" s="25"/>
      <c r="X65" s="26"/>
      <c r="Y65" s="26"/>
      <c r="Z65" s="26"/>
      <c r="AA65" s="26"/>
      <c r="AB65" s="26"/>
      <c r="AC65" s="27"/>
      <c r="AD65" s="25"/>
      <c r="AE65" s="26"/>
      <c r="AF65" s="26"/>
      <c r="AG65" s="26"/>
      <c r="AH65" s="26"/>
      <c r="AI65" s="26"/>
      <c r="AJ65" s="27"/>
      <c r="AK65" s="25"/>
      <c r="AL65" s="26"/>
      <c r="AM65" s="26"/>
      <c r="AN65" s="26"/>
      <c r="AO65" s="28"/>
      <c r="BQ65" s="269" t="s">
        <v>188</v>
      </c>
    </row>
    <row r="66" spans="1:69" ht="12" customHeight="1">
      <c r="A66" s="184" t="s">
        <v>13</v>
      </c>
      <c r="B66" s="49"/>
      <c r="C66" s="50"/>
      <c r="D66" s="50"/>
      <c r="E66" s="50"/>
      <c r="F66" s="50"/>
      <c r="G66" s="50"/>
      <c r="H66" s="51"/>
      <c r="I66" s="49"/>
      <c r="J66" s="50"/>
      <c r="K66" s="50"/>
      <c r="L66" s="50"/>
      <c r="M66" s="50"/>
      <c r="N66" s="50"/>
      <c r="O66" s="51"/>
      <c r="P66" s="49"/>
      <c r="Q66" s="50"/>
      <c r="R66" s="50"/>
      <c r="S66" s="50"/>
      <c r="T66" s="50"/>
      <c r="U66" s="50"/>
      <c r="V66" s="51"/>
      <c r="W66" s="49"/>
      <c r="X66" s="50"/>
      <c r="Y66" s="50"/>
      <c r="Z66" s="50"/>
      <c r="AA66" s="50"/>
      <c r="AB66" s="50"/>
      <c r="AC66" s="51"/>
      <c r="AD66" s="49"/>
      <c r="AE66" s="50"/>
      <c r="AF66" s="50"/>
      <c r="AG66" s="50"/>
      <c r="AH66" s="50"/>
      <c r="AI66" s="50"/>
      <c r="AJ66" s="51"/>
      <c r="AK66" s="49"/>
      <c r="AL66" s="50"/>
      <c r="AM66" s="50"/>
      <c r="AN66" s="50"/>
      <c r="AO66" s="52"/>
      <c r="BQ66" s="269" t="s">
        <v>189</v>
      </c>
    </row>
    <row r="67" spans="1:69" ht="12" customHeight="1">
      <c r="A67" s="7" t="s">
        <v>14</v>
      </c>
      <c r="B67" s="29"/>
      <c r="C67" s="30"/>
      <c r="D67" s="30"/>
      <c r="E67" s="30"/>
      <c r="F67" s="54"/>
      <c r="G67" s="54"/>
      <c r="H67" s="31"/>
      <c r="I67" s="29"/>
      <c r="J67" s="30"/>
      <c r="K67" s="30"/>
      <c r="M67" s="30"/>
      <c r="N67" s="30"/>
      <c r="O67" s="51"/>
      <c r="P67" s="49"/>
      <c r="Q67" s="30"/>
      <c r="R67" s="30"/>
      <c r="S67" s="30"/>
      <c r="T67" s="30"/>
      <c r="U67" s="30"/>
      <c r="V67" s="31"/>
      <c r="W67" s="29"/>
      <c r="X67" s="30"/>
      <c r="Y67" s="30"/>
      <c r="Z67" s="30"/>
      <c r="AA67" s="30"/>
      <c r="AB67" s="30"/>
      <c r="AC67" s="31"/>
      <c r="AD67" s="29"/>
      <c r="AE67" s="30"/>
      <c r="AF67" s="30"/>
      <c r="AG67" s="30"/>
      <c r="AH67" s="30"/>
      <c r="AI67" s="30"/>
      <c r="AJ67" s="31"/>
      <c r="AK67" s="29"/>
      <c r="AL67" s="30"/>
      <c r="AM67" s="30"/>
      <c r="AN67" s="54"/>
      <c r="AO67" s="32"/>
      <c r="AP67" s="39"/>
      <c r="BQ67" s="269" t="s">
        <v>190</v>
      </c>
    </row>
    <row r="68" spans="1:69">
      <c r="A68" s="7" t="s">
        <v>15</v>
      </c>
      <c r="B68" s="157">
        <v>1</v>
      </c>
      <c r="C68" s="158">
        <v>2</v>
      </c>
      <c r="D68" s="158">
        <v>3</v>
      </c>
      <c r="E68" s="158">
        <v>4</v>
      </c>
      <c r="F68" s="158">
        <v>5</v>
      </c>
      <c r="G68" s="158">
        <v>6</v>
      </c>
      <c r="H68" s="159">
        <v>7</v>
      </c>
      <c r="I68" s="157">
        <v>8</v>
      </c>
      <c r="J68" s="158">
        <v>9</v>
      </c>
      <c r="K68" s="158">
        <v>10</v>
      </c>
      <c r="L68" s="158">
        <v>11</v>
      </c>
      <c r="M68" s="158">
        <v>12</v>
      </c>
      <c r="N68" s="158">
        <v>13</v>
      </c>
      <c r="O68" s="159">
        <v>14</v>
      </c>
      <c r="P68" s="157">
        <v>15</v>
      </c>
      <c r="Q68" s="196">
        <v>16</v>
      </c>
      <c r="R68" s="196">
        <v>17</v>
      </c>
      <c r="S68" s="196">
        <v>18</v>
      </c>
      <c r="T68" s="196">
        <v>19</v>
      </c>
      <c r="U68" s="196">
        <v>20</v>
      </c>
      <c r="V68" s="197">
        <v>21</v>
      </c>
      <c r="W68" s="198">
        <v>22</v>
      </c>
      <c r="X68" s="196">
        <v>23</v>
      </c>
      <c r="Y68" s="196">
        <v>24</v>
      </c>
      <c r="Z68" s="196">
        <v>25</v>
      </c>
      <c r="AA68" s="158">
        <v>26</v>
      </c>
      <c r="AB68" s="158">
        <v>27</v>
      </c>
      <c r="AC68" s="159">
        <v>28</v>
      </c>
      <c r="AD68" s="157">
        <v>29</v>
      </c>
      <c r="AE68" s="158">
        <v>30</v>
      </c>
      <c r="AF68" s="158">
        <v>31</v>
      </c>
      <c r="AG68" s="158">
        <v>32</v>
      </c>
      <c r="AH68" s="158">
        <v>33</v>
      </c>
      <c r="AI68" s="158">
        <v>34</v>
      </c>
      <c r="AJ68" s="159">
        <v>35</v>
      </c>
      <c r="AK68" s="157">
        <v>36</v>
      </c>
      <c r="AL68" s="158">
        <v>37</v>
      </c>
      <c r="AM68" s="158">
        <v>38</v>
      </c>
      <c r="AN68" s="158">
        <v>39</v>
      </c>
      <c r="AO68" s="160">
        <v>40</v>
      </c>
      <c r="BQ68" s="269" t="s">
        <v>191</v>
      </c>
    </row>
    <row r="69" spans="1:69" ht="16.5" thickBot="1">
      <c r="A69" s="8" t="s">
        <v>16</v>
      </c>
      <c r="B69" s="262"/>
      <c r="C69" s="263"/>
      <c r="D69" s="263"/>
      <c r="E69" s="264"/>
      <c r="F69" s="264"/>
      <c r="G69" s="264"/>
      <c r="H69" s="265"/>
      <c r="I69" s="266"/>
      <c r="J69" s="264"/>
      <c r="K69" s="264"/>
      <c r="L69" s="264"/>
      <c r="M69" s="264"/>
      <c r="N69" s="264"/>
      <c r="O69" s="265"/>
      <c r="P69" s="266"/>
      <c r="Q69" s="264"/>
      <c r="R69" s="264"/>
      <c r="S69" s="264"/>
      <c r="T69" s="264"/>
      <c r="U69" s="264"/>
      <c r="V69" s="265"/>
      <c r="W69" s="266"/>
      <c r="X69" s="264"/>
      <c r="Y69" s="264"/>
      <c r="Z69" s="264"/>
      <c r="AA69" s="264"/>
      <c r="AB69" s="264"/>
      <c r="AC69" s="265"/>
      <c r="AD69" s="266"/>
      <c r="AE69" s="264"/>
      <c r="AF69" s="264"/>
      <c r="AG69" s="264"/>
      <c r="AH69" s="264"/>
      <c r="AI69" s="267"/>
      <c r="AJ69" s="264"/>
      <c r="AK69" s="262"/>
      <c r="AL69" s="263"/>
      <c r="AM69" s="263"/>
      <c r="AN69" s="263"/>
      <c r="AO69" s="268"/>
      <c r="AP69" s="53"/>
      <c r="BQ69" s="269" t="s">
        <v>192</v>
      </c>
    </row>
    <row r="70" spans="1:69" ht="12">
      <c r="A70" s="5" t="s">
        <v>60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 t="s">
        <v>7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270"/>
      <c r="AN70" s="270"/>
      <c r="AO70" s="270"/>
      <c r="BA70" s="1"/>
      <c r="BB70" s="1"/>
      <c r="BC70" s="1"/>
      <c r="BD70" s="1"/>
      <c r="BE70" s="1"/>
      <c r="BF70" s="1"/>
      <c r="BG70" s="1"/>
      <c r="BH70" s="1"/>
      <c r="BQ70" s="269" t="s">
        <v>193</v>
      </c>
    </row>
    <row r="71" spans="1:69" ht="12">
      <c r="A71" s="5" t="s">
        <v>55</v>
      </c>
      <c r="B71" s="5"/>
      <c r="C71" s="5"/>
      <c r="D71" s="5"/>
      <c r="E71" s="5"/>
      <c r="F71" s="5"/>
      <c r="G71" s="5"/>
      <c r="H71" s="5"/>
      <c r="I71" s="5"/>
      <c r="J71" s="5"/>
      <c r="K71" s="5" t="s">
        <v>25</v>
      </c>
      <c r="L71" s="5"/>
      <c r="M71" s="5"/>
      <c r="N71" s="274"/>
      <c r="O71" s="274"/>
      <c r="P71" s="274"/>
      <c r="Q71" s="155"/>
      <c r="R71" s="5"/>
      <c r="S71" s="5" t="s">
        <v>44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271"/>
      <c r="AN71" s="271"/>
      <c r="AO71" s="271"/>
      <c r="BA71" s="1"/>
      <c r="BB71" s="1"/>
      <c r="BC71" s="1"/>
      <c r="BD71" s="1"/>
      <c r="BE71" s="1"/>
      <c r="BF71" s="1"/>
      <c r="BG71" s="1"/>
      <c r="BH71" s="1"/>
      <c r="BQ71" s="269" t="s">
        <v>194</v>
      </c>
    </row>
    <row r="72" spans="1:69" ht="12">
      <c r="A72" s="5" t="s">
        <v>22</v>
      </c>
      <c r="B72" s="5"/>
      <c r="C72" s="5"/>
      <c r="D72" s="5"/>
      <c r="E72" s="5"/>
      <c r="F72" s="5"/>
      <c r="G72" s="5"/>
      <c r="H72" s="5"/>
      <c r="I72" s="5"/>
      <c r="J72" s="5"/>
      <c r="K72" s="125"/>
      <c r="L72" s="5"/>
      <c r="M72" s="156" t="s">
        <v>122</v>
      </c>
      <c r="N72" s="5" t="s">
        <v>124</v>
      </c>
      <c r="O72" s="278" t="s">
        <v>123</v>
      </c>
      <c r="P72" s="278"/>
      <c r="Q72" s="155"/>
      <c r="R72" s="5"/>
      <c r="S72" s="5" t="s">
        <v>56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271"/>
      <c r="AN72" s="271"/>
      <c r="AO72" s="271"/>
      <c r="BA72" s="1"/>
      <c r="BB72" s="1"/>
      <c r="BC72" s="1"/>
      <c r="BD72" s="1"/>
      <c r="BE72" s="1"/>
      <c r="BF72" s="1"/>
      <c r="BG72" s="1"/>
      <c r="BH72" s="1"/>
      <c r="BQ72" s="269" t="s">
        <v>195</v>
      </c>
    </row>
    <row r="73" spans="1:69" ht="12">
      <c r="A73" s="5" t="s">
        <v>27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55"/>
      <c r="R73" s="5"/>
      <c r="S73" s="5" t="s">
        <v>17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270"/>
      <c r="AN73" s="270"/>
      <c r="AO73" s="270"/>
      <c r="BA73" s="1"/>
      <c r="BB73" s="1"/>
      <c r="BC73" s="1"/>
      <c r="BD73" s="1"/>
      <c r="BE73" s="1"/>
      <c r="BF73" s="1"/>
      <c r="BG73" s="1"/>
      <c r="BH73" s="1"/>
      <c r="BQ73" s="269" t="s">
        <v>196</v>
      </c>
    </row>
    <row r="74" spans="1:69" ht="12">
      <c r="A74" s="5" t="s">
        <v>28</v>
      </c>
      <c r="B74" s="5"/>
      <c r="C74" s="272" t="s">
        <v>43</v>
      </c>
      <c r="D74" s="272"/>
      <c r="E74" s="195">
        <v>21</v>
      </c>
      <c r="F74" s="156" t="s">
        <v>29</v>
      </c>
      <c r="G74" s="158">
        <v>20</v>
      </c>
      <c r="H74" s="5"/>
      <c r="I74" s="5"/>
      <c r="J74" s="5"/>
      <c r="K74" s="5"/>
      <c r="L74" s="5"/>
      <c r="M74" s="5"/>
      <c r="N74" s="270"/>
      <c r="O74" s="270"/>
      <c r="P74" s="270"/>
      <c r="Q74" s="155"/>
      <c r="R74" s="5"/>
      <c r="S74" s="5" t="s">
        <v>23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270"/>
      <c r="AN74" s="270"/>
      <c r="AO74" s="270"/>
      <c r="BA74" s="1"/>
      <c r="BB74" s="1"/>
      <c r="BC74" s="1"/>
      <c r="BD74" s="1"/>
      <c r="BE74" s="1"/>
      <c r="BF74" s="1"/>
      <c r="BG74" s="1"/>
      <c r="BH74" s="1"/>
      <c r="BQ74" s="269" t="s">
        <v>197</v>
      </c>
    </row>
    <row r="75" spans="1:69" ht="12">
      <c r="A75" s="5" t="s">
        <v>18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270"/>
      <c r="O75" s="270"/>
      <c r="P75" s="270"/>
      <c r="Q75" s="155"/>
      <c r="R75" s="5"/>
      <c r="S75" s="5" t="s">
        <v>30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F75" s="199">
        <v>6</v>
      </c>
      <c r="AG75" s="156" t="s">
        <v>29</v>
      </c>
      <c r="AH75" s="158">
        <v>12</v>
      </c>
      <c r="AI75" s="5" t="s">
        <v>31</v>
      </c>
      <c r="AJ75" s="5"/>
      <c r="AK75" s="5"/>
      <c r="AL75" s="5"/>
      <c r="AM75" s="270"/>
      <c r="AN75" s="270"/>
      <c r="AO75" s="270"/>
      <c r="BA75" s="1"/>
      <c r="BB75" s="1"/>
      <c r="BC75" s="1"/>
      <c r="BD75" s="1"/>
      <c r="BE75" s="1"/>
      <c r="BF75" s="1"/>
      <c r="BG75" s="1"/>
      <c r="BH75" s="1"/>
      <c r="BQ75" s="269" t="s">
        <v>198</v>
      </c>
    </row>
    <row r="76" spans="1:69" ht="12">
      <c r="A76" s="5" t="s">
        <v>59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270"/>
      <c r="O76" s="270"/>
      <c r="P76" s="270"/>
      <c r="Q76" s="155"/>
      <c r="R76" s="5"/>
      <c r="S76" s="5" t="s">
        <v>19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125"/>
      <c r="AL76" s="5"/>
      <c r="AM76" s="279"/>
      <c r="AN76" s="279"/>
      <c r="AO76" s="279"/>
      <c r="BA76" s="1"/>
      <c r="BB76" s="1"/>
      <c r="BC76" s="1"/>
      <c r="BD76" s="1"/>
      <c r="BE76" s="1"/>
      <c r="BF76" s="1"/>
      <c r="BG76" s="1"/>
      <c r="BH76" s="1"/>
      <c r="BQ76" s="269" t="s">
        <v>199</v>
      </c>
    </row>
    <row r="77" spans="1:69">
      <c r="A77" s="5" t="s">
        <v>26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271"/>
      <c r="O77" s="271"/>
      <c r="P77" s="271"/>
      <c r="Q77" s="155"/>
      <c r="R77" s="5"/>
      <c r="S77" s="5" t="s">
        <v>20</v>
      </c>
      <c r="T77" s="5"/>
      <c r="U77" s="5"/>
      <c r="V77" s="5"/>
      <c r="W77" s="5"/>
      <c r="X77" s="5"/>
      <c r="Y77" s="5"/>
      <c r="Z77" s="5"/>
      <c r="AA77" s="5"/>
      <c r="AB77" s="5"/>
      <c r="AC77" s="125"/>
      <c r="AD77" s="282" t="s">
        <v>21</v>
      </c>
      <c r="AE77" s="282"/>
      <c r="AF77" s="282"/>
      <c r="AG77" s="282"/>
      <c r="AH77" s="282"/>
      <c r="AI77" s="282"/>
      <c r="AJ77" s="282"/>
      <c r="AK77" s="282"/>
      <c r="AL77" s="282"/>
      <c r="AM77" s="282"/>
      <c r="AN77" s="282"/>
      <c r="AO77" s="282"/>
      <c r="AP77" s="58"/>
      <c r="BA77" s="1"/>
      <c r="BB77" s="1"/>
      <c r="BC77" s="1"/>
      <c r="BD77" s="1"/>
      <c r="BE77" s="1"/>
      <c r="BF77" s="1"/>
      <c r="BG77" s="1"/>
      <c r="BH77" s="1"/>
      <c r="BQ77" s="269" t="s">
        <v>200</v>
      </c>
    </row>
    <row r="78" spans="1:69" ht="12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O78" s="1"/>
      <c r="Q78" s="180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J78" s="1"/>
      <c r="BA78" s="1"/>
      <c r="BB78" s="1"/>
      <c r="BC78" s="1"/>
      <c r="BD78" s="1"/>
      <c r="BE78" s="1"/>
      <c r="BF78" s="1"/>
      <c r="BG78" s="1"/>
      <c r="BH78" s="1"/>
      <c r="BQ78" s="269" t="s">
        <v>201</v>
      </c>
    </row>
    <row r="79" spans="1:69" ht="1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181"/>
      <c r="AK79" s="5"/>
      <c r="AL79" s="5"/>
      <c r="AM79" s="5"/>
      <c r="AN79" s="5"/>
      <c r="AO79" s="5"/>
      <c r="BA79" s="1"/>
      <c r="BB79" s="1"/>
      <c r="BC79" s="1"/>
      <c r="BD79" s="1"/>
      <c r="BE79" s="1"/>
      <c r="BF79" s="1"/>
      <c r="BG79" s="1"/>
      <c r="BH79" s="1"/>
      <c r="BQ79" s="269" t="s">
        <v>202</v>
      </c>
    </row>
    <row r="80" spans="1:69" ht="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BA80" s="1"/>
      <c r="BB80" s="1"/>
      <c r="BC80" s="1"/>
      <c r="BD80" s="1"/>
      <c r="BE80" s="1"/>
      <c r="BF80" s="1"/>
      <c r="BG80" s="1"/>
      <c r="BH80" s="1"/>
      <c r="BQ80" s="269" t="s">
        <v>203</v>
      </c>
    </row>
    <row r="81" spans="1:69" ht="12">
      <c r="A81" s="5"/>
      <c r="B81" s="125"/>
      <c r="C81" s="57"/>
      <c r="D81" s="57"/>
      <c r="E81" s="57"/>
      <c r="F81" s="57"/>
      <c r="G81" s="57"/>
      <c r="H81" s="57"/>
      <c r="I81" s="57"/>
      <c r="J81" s="57"/>
      <c r="K81" s="193"/>
      <c r="L81" s="57"/>
      <c r="M81" s="57"/>
      <c r="N81" s="57"/>
      <c r="O81" s="57"/>
      <c r="P81" s="57"/>
      <c r="Q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BA81" s="1"/>
      <c r="BB81" s="1"/>
      <c r="BC81" s="1"/>
      <c r="BD81" s="1"/>
      <c r="BE81" s="1"/>
      <c r="BF81" s="1"/>
      <c r="BG81" s="1"/>
      <c r="BH81" s="1"/>
      <c r="BQ81" s="269" t="s">
        <v>204</v>
      </c>
    </row>
    <row r="82" spans="1:69" ht="12">
      <c r="A82" s="5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1"/>
      <c r="AC82" s="1"/>
      <c r="AJ82" s="1"/>
      <c r="BA82" s="1"/>
      <c r="BB82" s="1"/>
      <c r="BC82" s="1"/>
      <c r="BD82" s="1"/>
      <c r="BE82" s="1"/>
      <c r="BF82" s="1"/>
      <c r="BG82" s="1"/>
      <c r="BH82" s="1"/>
    </row>
    <row r="83" spans="1:69" ht="15.75">
      <c r="A83" s="5"/>
      <c r="H83" s="1"/>
      <c r="L83" s="209" t="s">
        <v>24</v>
      </c>
      <c r="O83" s="1"/>
      <c r="R83" s="194"/>
      <c r="S83" s="194"/>
      <c r="T83" s="194"/>
      <c r="U83" s="194"/>
      <c r="V83" s="1"/>
      <c r="AC83" s="1"/>
      <c r="AJ83" s="1"/>
      <c r="BA83" s="1"/>
      <c r="BB83" s="1"/>
      <c r="BC83" s="1"/>
      <c r="BD83" s="1"/>
      <c r="BE83" s="1"/>
      <c r="BF83" s="1"/>
      <c r="BG83" s="1"/>
      <c r="BH83" s="1"/>
    </row>
    <row r="84" spans="1:69" ht="14.25">
      <c r="A84" s="5"/>
      <c r="B84" s="125"/>
      <c r="C84" s="57"/>
      <c r="D84" s="57"/>
      <c r="E84" s="57"/>
      <c r="F84" s="57"/>
      <c r="G84" s="57"/>
      <c r="H84" s="57"/>
      <c r="I84" s="57"/>
      <c r="J84" s="57"/>
      <c r="K84" s="193"/>
      <c r="L84" s="57"/>
      <c r="M84" s="57"/>
      <c r="N84" s="57"/>
      <c r="O84" s="57"/>
      <c r="P84" s="280"/>
      <c r="Q84" s="281"/>
      <c r="R84" s="281"/>
      <c r="S84" s="281"/>
      <c r="T84" s="57"/>
      <c r="U84" s="57"/>
      <c r="V84" s="1"/>
      <c r="AC84" s="1"/>
      <c r="AJ84" s="1"/>
      <c r="BA84" s="1"/>
      <c r="BB84" s="1"/>
      <c r="BC84" s="1"/>
      <c r="BD84" s="1"/>
      <c r="BE84" s="1"/>
      <c r="BF84" s="1"/>
      <c r="BG84" s="1"/>
      <c r="BH84" s="1"/>
    </row>
    <row r="85" spans="1:69" ht="12">
      <c r="A85" s="5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131"/>
      <c r="O85" s="57"/>
      <c r="P85" s="57"/>
      <c r="Q85" s="57"/>
      <c r="R85" s="57"/>
      <c r="S85" s="57"/>
      <c r="T85" s="57"/>
      <c r="U85" s="57"/>
      <c r="V85" s="1"/>
      <c r="AC85" s="1"/>
      <c r="AJ85" s="1"/>
      <c r="BA85" s="1"/>
      <c r="BB85" s="1"/>
      <c r="BC85" s="1"/>
      <c r="BD85" s="1"/>
      <c r="BE85" s="1"/>
      <c r="BF85" s="1"/>
      <c r="BG85" s="1"/>
      <c r="BH85" s="1"/>
    </row>
    <row r="86" spans="1:69" ht="15.75">
      <c r="A86" s="5"/>
      <c r="H86" s="1"/>
      <c r="O86" s="1"/>
      <c r="Q86" s="194"/>
      <c r="R86" s="194"/>
      <c r="S86" s="194"/>
      <c r="T86" s="194"/>
      <c r="U86" s="194"/>
      <c r="V86" s="1"/>
      <c r="AC86" s="1"/>
      <c r="AJ86" s="1"/>
      <c r="BA86" s="1"/>
      <c r="BB86" s="1"/>
      <c r="BC86" s="1"/>
      <c r="BD86" s="1"/>
      <c r="BE86" s="1"/>
      <c r="BF86" s="1"/>
      <c r="BG86" s="1"/>
      <c r="BH86" s="1"/>
    </row>
    <row r="87" spans="1:69">
      <c r="H87" s="1"/>
      <c r="O87" s="1"/>
      <c r="Q87" s="188"/>
      <c r="V87" s="1"/>
      <c r="AC87" s="1"/>
      <c r="AJ87" s="1"/>
      <c r="BA87" s="1"/>
      <c r="BB87" s="1"/>
      <c r="BC87" s="1"/>
      <c r="BD87" s="1"/>
      <c r="BE87" s="1"/>
      <c r="BF87" s="1"/>
      <c r="BG87" s="1"/>
      <c r="BH87" s="1"/>
    </row>
    <row r="88" spans="1:69" ht="10.5">
      <c r="H88" s="1"/>
      <c r="O88" s="1"/>
      <c r="V88" s="1"/>
      <c r="AC88" s="1"/>
      <c r="AJ88" s="1"/>
      <c r="BA88" s="1"/>
      <c r="BB88" s="1"/>
      <c r="BC88" s="1"/>
      <c r="BD88" s="1"/>
      <c r="BE88" s="1"/>
      <c r="BF88" s="1"/>
      <c r="BG88" s="1"/>
      <c r="BH88" s="1"/>
    </row>
    <row r="89" spans="1:69" ht="10.5">
      <c r="H89" s="1"/>
      <c r="O89" s="1"/>
      <c r="V89" s="1"/>
      <c r="AC89" s="1"/>
      <c r="AJ89" s="1"/>
      <c r="BA89" s="1"/>
      <c r="BB89" s="1"/>
      <c r="BC89" s="1"/>
      <c r="BD89" s="1"/>
      <c r="BE89" s="1"/>
      <c r="BF89" s="1"/>
      <c r="BG89" s="1"/>
      <c r="BH89" s="1"/>
    </row>
    <row r="90" spans="1:69">
      <c r="A90" s="12"/>
      <c r="H90" s="1"/>
      <c r="O90" s="1"/>
      <c r="V90" s="1"/>
      <c r="AC90" s="1"/>
      <c r="AJ90" s="1"/>
      <c r="BA90" s="1"/>
      <c r="BB90" s="1"/>
      <c r="BC90" s="1"/>
      <c r="BD90" s="1"/>
      <c r="BE90" s="1"/>
      <c r="BF90" s="1"/>
      <c r="BG90" s="1"/>
      <c r="BH90" s="1"/>
    </row>
    <row r="91" spans="1:69" ht="10.5">
      <c r="A91" s="13"/>
      <c r="H91" s="1"/>
      <c r="O91" s="1"/>
      <c r="V91" s="1"/>
      <c r="AC91" s="1"/>
      <c r="AJ91" s="1"/>
      <c r="BA91" s="1"/>
      <c r="BB91" s="1"/>
      <c r="BC91" s="1"/>
      <c r="BD91" s="1"/>
      <c r="BE91" s="1"/>
      <c r="BF91" s="1"/>
      <c r="BG91" s="1"/>
      <c r="BH91" s="1"/>
    </row>
    <row r="92" spans="1:69" ht="10.5">
      <c r="A92" s="14"/>
      <c r="H92" s="1"/>
      <c r="O92" s="1"/>
      <c r="V92" s="1"/>
      <c r="AC92" s="1"/>
      <c r="AJ92" s="1"/>
      <c r="BA92" s="1"/>
      <c r="BB92" s="1"/>
      <c r="BC92" s="1"/>
      <c r="BD92" s="1"/>
      <c r="BE92" s="1"/>
      <c r="BF92" s="1"/>
      <c r="BG92" s="1"/>
      <c r="BH92" s="1"/>
    </row>
    <row r="93" spans="1:69" ht="10.5">
      <c r="H93" s="1"/>
      <c r="O93" s="1"/>
      <c r="V93" s="1"/>
      <c r="AC93" s="1"/>
      <c r="AJ93" s="1"/>
      <c r="BA93" s="1"/>
      <c r="BB93" s="1"/>
      <c r="BC93" s="1"/>
      <c r="BD93" s="1"/>
      <c r="BE93" s="1"/>
      <c r="BF93" s="1"/>
      <c r="BG93" s="1"/>
      <c r="BH93" s="1"/>
    </row>
    <row r="94" spans="1:69" ht="10.5">
      <c r="H94" s="1"/>
      <c r="O94" s="1"/>
      <c r="V94" s="1"/>
      <c r="AC94" s="1"/>
      <c r="AJ94" s="1"/>
      <c r="BA94" s="1"/>
      <c r="BB94" s="1"/>
      <c r="BC94" s="1"/>
      <c r="BD94" s="1"/>
      <c r="BE94" s="1"/>
      <c r="BF94" s="1"/>
      <c r="BG94" s="1"/>
      <c r="BH94" s="1"/>
    </row>
    <row r="95" spans="1:69" ht="10.5">
      <c r="H95" s="1"/>
      <c r="O95" s="1"/>
      <c r="V95" s="1"/>
      <c r="AC95" s="1"/>
      <c r="AJ95" s="1"/>
      <c r="BA95" s="1"/>
      <c r="BB95" s="1"/>
      <c r="BC95" s="1"/>
      <c r="BD95" s="1"/>
      <c r="BE95" s="1"/>
      <c r="BF95" s="1"/>
      <c r="BG95" s="1"/>
      <c r="BH95" s="1"/>
    </row>
    <row r="96" spans="1:69" ht="10.5">
      <c r="H96" s="1"/>
      <c r="O96" s="1"/>
      <c r="V96" s="1"/>
      <c r="AC96" s="1"/>
      <c r="AJ96" s="1"/>
      <c r="BA96" s="1"/>
      <c r="BB96" s="1"/>
      <c r="BC96" s="1"/>
      <c r="BD96" s="1"/>
      <c r="BE96" s="1"/>
      <c r="BF96" s="1"/>
      <c r="BG96" s="1"/>
      <c r="BH96" s="1"/>
    </row>
    <row r="97" spans="61:68" s="1" customFormat="1" ht="10.5">
      <c r="BI97" s="215"/>
      <c r="BJ97" s="215"/>
      <c r="BK97" s="215"/>
      <c r="BL97" s="215"/>
      <c r="BM97" s="215"/>
      <c r="BN97" s="215"/>
      <c r="BO97" s="215"/>
      <c r="BP97" s="215"/>
    </row>
    <row r="98" spans="61:68" s="1" customFormat="1" ht="10.5">
      <c r="BI98" s="215"/>
      <c r="BJ98" s="215"/>
      <c r="BK98" s="215"/>
      <c r="BL98" s="215"/>
      <c r="BM98" s="215"/>
      <c r="BN98" s="215"/>
      <c r="BO98" s="215"/>
      <c r="BP98" s="215"/>
    </row>
    <row r="99" spans="61:68" s="1" customFormat="1" ht="10.5">
      <c r="BI99" s="215"/>
      <c r="BJ99" s="215"/>
      <c r="BK99" s="215"/>
      <c r="BL99" s="215"/>
      <c r="BM99" s="215"/>
      <c r="BN99" s="215"/>
      <c r="BO99" s="215"/>
      <c r="BP99" s="215"/>
    </row>
    <row r="100" spans="61:68" s="1" customFormat="1" ht="10.5">
      <c r="BI100" s="215"/>
      <c r="BJ100" s="215"/>
      <c r="BK100" s="215"/>
      <c r="BL100" s="215"/>
      <c r="BM100" s="215"/>
      <c r="BN100" s="215"/>
      <c r="BO100" s="215"/>
      <c r="BP100" s="215"/>
    </row>
    <row r="101" spans="61:68" s="1" customFormat="1" ht="10.5">
      <c r="BI101" s="215"/>
      <c r="BJ101" s="215"/>
      <c r="BK101" s="215"/>
      <c r="BL101" s="215"/>
      <c r="BM101" s="215"/>
      <c r="BN101" s="215"/>
      <c r="BO101" s="215"/>
      <c r="BP101" s="215"/>
    </row>
    <row r="102" spans="61:68" s="1" customFormat="1" ht="10.5">
      <c r="BI102" s="215"/>
      <c r="BJ102" s="215"/>
      <c r="BK102" s="215"/>
      <c r="BL102" s="215"/>
      <c r="BM102" s="215"/>
      <c r="BN102" s="215"/>
      <c r="BO102" s="215"/>
      <c r="BP102" s="215"/>
    </row>
    <row r="103" spans="61:68" s="1" customFormat="1" ht="10.5">
      <c r="BI103" s="215"/>
      <c r="BJ103" s="215"/>
      <c r="BK103" s="215"/>
      <c r="BL103" s="215"/>
      <c r="BM103" s="215"/>
      <c r="BN103" s="215"/>
      <c r="BO103" s="215"/>
      <c r="BP103" s="215"/>
    </row>
    <row r="104" spans="61:68" s="1" customFormat="1" ht="10.5">
      <c r="BI104" s="215"/>
      <c r="BJ104" s="215"/>
      <c r="BK104" s="215"/>
      <c r="BL104" s="215"/>
      <c r="BM104" s="215"/>
      <c r="BN104" s="215"/>
      <c r="BO104" s="215"/>
      <c r="BP104" s="215"/>
    </row>
    <row r="105" spans="61:68" s="1" customFormat="1" ht="10.5">
      <c r="BI105" s="215"/>
      <c r="BJ105" s="215"/>
      <c r="BK105" s="215"/>
      <c r="BL105" s="215"/>
      <c r="BM105" s="215"/>
      <c r="BN105" s="215"/>
      <c r="BO105" s="215"/>
      <c r="BP105" s="215"/>
    </row>
    <row r="106" spans="61:68" s="1" customFormat="1" ht="10.5">
      <c r="BI106" s="215"/>
      <c r="BJ106" s="215"/>
      <c r="BK106" s="215"/>
      <c r="BL106" s="215"/>
      <c r="BM106" s="215"/>
      <c r="BN106" s="215"/>
      <c r="BO106" s="215"/>
      <c r="BP106" s="215"/>
    </row>
    <row r="107" spans="61:68" s="1" customFormat="1" ht="10.5">
      <c r="BI107" s="215"/>
      <c r="BJ107" s="215"/>
      <c r="BK107" s="215"/>
      <c r="BL107" s="215"/>
      <c r="BM107" s="215"/>
      <c r="BN107" s="215"/>
      <c r="BO107" s="215"/>
      <c r="BP107" s="215"/>
    </row>
    <row r="108" spans="61:68" s="1" customFormat="1" ht="10.5">
      <c r="BI108" s="215"/>
      <c r="BJ108" s="215"/>
      <c r="BK108" s="215"/>
      <c r="BL108" s="215"/>
      <c r="BM108" s="215"/>
      <c r="BN108" s="215"/>
      <c r="BO108" s="215"/>
      <c r="BP108" s="215"/>
    </row>
    <row r="109" spans="61:68" s="1" customFormat="1" ht="10.5">
      <c r="BI109" s="215"/>
      <c r="BJ109" s="215"/>
      <c r="BK109" s="215"/>
      <c r="BL109" s="215"/>
      <c r="BM109" s="215"/>
      <c r="BN109" s="215"/>
      <c r="BO109" s="215"/>
      <c r="BP109" s="215"/>
    </row>
    <row r="110" spans="61:68" s="1" customFormat="1" ht="10.5">
      <c r="BI110" s="215"/>
      <c r="BJ110" s="215"/>
      <c r="BK110" s="215"/>
      <c r="BL110" s="215"/>
      <c r="BM110" s="215"/>
      <c r="BN110" s="215"/>
      <c r="BO110" s="215"/>
      <c r="BP110" s="215"/>
    </row>
    <row r="111" spans="61:68" s="1" customFormat="1" ht="10.5">
      <c r="BI111" s="215"/>
      <c r="BJ111" s="215"/>
      <c r="BK111" s="215"/>
      <c r="BL111" s="215"/>
      <c r="BM111" s="215"/>
      <c r="BN111" s="215"/>
      <c r="BO111" s="215"/>
      <c r="BP111" s="215"/>
    </row>
    <row r="112" spans="61:68" s="1" customFormat="1" ht="10.5">
      <c r="BI112" s="215"/>
      <c r="BJ112" s="215"/>
      <c r="BK112" s="215"/>
      <c r="BL112" s="215"/>
      <c r="BM112" s="215"/>
      <c r="BN112" s="215"/>
      <c r="BO112" s="215"/>
      <c r="BP112" s="215"/>
    </row>
    <row r="113" spans="61:68" s="1" customFormat="1" ht="10.5">
      <c r="BI113" s="215"/>
      <c r="BJ113" s="215"/>
      <c r="BK113" s="215"/>
      <c r="BL113" s="215"/>
      <c r="BM113" s="215"/>
      <c r="BN113" s="215"/>
      <c r="BO113" s="215"/>
      <c r="BP113" s="215"/>
    </row>
    <row r="114" spans="61:68" s="1" customFormat="1" ht="10.5">
      <c r="BI114" s="215"/>
      <c r="BJ114" s="215"/>
      <c r="BK114" s="215"/>
      <c r="BL114" s="215"/>
      <c r="BM114" s="215"/>
      <c r="BN114" s="215"/>
      <c r="BO114" s="215"/>
      <c r="BP114" s="215"/>
    </row>
    <row r="115" spans="61:68" s="1" customFormat="1" ht="10.5">
      <c r="BI115" s="215"/>
      <c r="BJ115" s="215"/>
      <c r="BK115" s="215"/>
      <c r="BL115" s="215"/>
      <c r="BM115" s="215"/>
      <c r="BN115" s="215"/>
      <c r="BO115" s="215"/>
      <c r="BP115" s="215"/>
    </row>
    <row r="116" spans="61:68" s="1" customFormat="1" ht="10.5">
      <c r="BI116" s="215"/>
      <c r="BJ116" s="215"/>
      <c r="BK116" s="215"/>
      <c r="BL116" s="215"/>
      <c r="BM116" s="215"/>
      <c r="BN116" s="215"/>
      <c r="BO116" s="215"/>
      <c r="BP116" s="215"/>
    </row>
    <row r="117" spans="61:68" s="1" customFormat="1" ht="10.5">
      <c r="BI117" s="215"/>
      <c r="BJ117" s="215"/>
      <c r="BK117" s="215"/>
      <c r="BL117" s="215"/>
      <c r="BM117" s="215"/>
      <c r="BN117" s="215"/>
      <c r="BO117" s="215"/>
      <c r="BP117" s="215"/>
    </row>
    <row r="118" spans="61:68" s="1" customFormat="1" ht="10.5">
      <c r="BI118" s="215"/>
      <c r="BJ118" s="215"/>
      <c r="BK118" s="215"/>
      <c r="BL118" s="215"/>
      <c r="BM118" s="215"/>
      <c r="BN118" s="215"/>
      <c r="BO118" s="215"/>
      <c r="BP118" s="215"/>
    </row>
    <row r="119" spans="61:68" s="1" customFormat="1" ht="10.5">
      <c r="BI119" s="215"/>
      <c r="BJ119" s="215"/>
      <c r="BK119" s="215"/>
      <c r="BL119" s="215"/>
      <c r="BM119" s="215"/>
      <c r="BN119" s="215"/>
      <c r="BO119" s="215"/>
      <c r="BP119" s="215"/>
    </row>
    <row r="120" spans="61:68" s="1" customFormat="1" ht="10.5">
      <c r="BI120" s="215"/>
      <c r="BJ120" s="215"/>
      <c r="BK120" s="215"/>
      <c r="BL120" s="215"/>
      <c r="BM120" s="215"/>
      <c r="BN120" s="215"/>
      <c r="BO120" s="215"/>
      <c r="BP120" s="215"/>
    </row>
    <row r="121" spans="61:68" s="1" customFormat="1" ht="10.5">
      <c r="BI121" s="215"/>
      <c r="BJ121" s="215"/>
      <c r="BK121" s="215"/>
      <c r="BL121" s="215"/>
      <c r="BM121" s="215"/>
      <c r="BN121" s="215"/>
      <c r="BO121" s="215"/>
      <c r="BP121" s="215"/>
    </row>
    <row r="122" spans="61:68" s="1" customFormat="1" ht="10.5">
      <c r="BI122" s="215"/>
      <c r="BJ122" s="215"/>
      <c r="BK122" s="215"/>
      <c r="BL122" s="215"/>
      <c r="BM122" s="215"/>
      <c r="BN122" s="215"/>
      <c r="BO122" s="215"/>
      <c r="BP122" s="215"/>
    </row>
    <row r="123" spans="61:68" s="1" customFormat="1" ht="10.5">
      <c r="BI123" s="215"/>
      <c r="BJ123" s="215"/>
      <c r="BK123" s="215"/>
      <c r="BL123" s="215"/>
      <c r="BM123" s="215"/>
      <c r="BN123" s="215"/>
      <c r="BO123" s="215"/>
      <c r="BP123" s="215"/>
    </row>
    <row r="124" spans="61:68" s="1" customFormat="1" ht="10.5">
      <c r="BI124" s="215"/>
      <c r="BJ124" s="215"/>
      <c r="BK124" s="215"/>
      <c r="BL124" s="215"/>
      <c r="BM124" s="215"/>
      <c r="BN124" s="215"/>
      <c r="BO124" s="215"/>
      <c r="BP124" s="215"/>
    </row>
    <row r="125" spans="61:68" s="1" customFormat="1" ht="10.5">
      <c r="BI125" s="215"/>
      <c r="BJ125" s="215"/>
      <c r="BK125" s="215"/>
      <c r="BL125" s="215"/>
      <c r="BM125" s="215"/>
      <c r="BN125" s="215"/>
      <c r="BO125" s="215"/>
      <c r="BP125" s="215"/>
    </row>
    <row r="126" spans="61:68" s="1" customFormat="1" ht="10.5">
      <c r="BI126" s="215"/>
      <c r="BJ126" s="215"/>
      <c r="BK126" s="215"/>
      <c r="BL126" s="215"/>
      <c r="BM126" s="215"/>
      <c r="BN126" s="215"/>
      <c r="BO126" s="215"/>
      <c r="BP126" s="215"/>
    </row>
    <row r="127" spans="61:68" s="1" customFormat="1" ht="10.5">
      <c r="BI127" s="215"/>
      <c r="BJ127" s="215"/>
      <c r="BK127" s="215"/>
      <c r="BL127" s="215"/>
      <c r="BM127" s="215"/>
      <c r="BN127" s="215"/>
      <c r="BO127" s="215"/>
      <c r="BP127" s="215"/>
    </row>
    <row r="128" spans="61:68" s="1" customFormat="1" ht="10.5">
      <c r="BI128" s="215"/>
      <c r="BJ128" s="215"/>
      <c r="BK128" s="215"/>
      <c r="BL128" s="215"/>
      <c r="BM128" s="215"/>
      <c r="BN128" s="215"/>
      <c r="BO128" s="215"/>
      <c r="BP128" s="215"/>
    </row>
    <row r="129" spans="61:68" s="1" customFormat="1" ht="10.5">
      <c r="BI129" s="215"/>
      <c r="BJ129" s="215"/>
      <c r="BK129" s="215"/>
      <c r="BL129" s="215"/>
      <c r="BM129" s="215"/>
      <c r="BN129" s="215"/>
      <c r="BO129" s="215"/>
      <c r="BP129" s="215"/>
    </row>
    <row r="130" spans="61:68" s="1" customFormat="1" ht="10.5">
      <c r="BI130" s="215"/>
      <c r="BJ130" s="215"/>
      <c r="BK130" s="215"/>
      <c r="BL130" s="215"/>
      <c r="BM130" s="215"/>
      <c r="BN130" s="215"/>
      <c r="BO130" s="215"/>
      <c r="BP130" s="215"/>
    </row>
    <row r="131" spans="61:68" s="1" customFormat="1" ht="10.5">
      <c r="BI131" s="215"/>
      <c r="BJ131" s="215"/>
      <c r="BK131" s="215"/>
      <c r="BL131" s="215"/>
      <c r="BM131" s="215"/>
      <c r="BN131" s="215"/>
      <c r="BO131" s="215"/>
      <c r="BP131" s="215"/>
    </row>
    <row r="132" spans="61:68" s="1" customFormat="1" ht="10.5">
      <c r="BI132" s="215"/>
      <c r="BJ132" s="215"/>
      <c r="BK132" s="215"/>
      <c r="BL132" s="215"/>
      <c r="BM132" s="215"/>
      <c r="BN132" s="215"/>
      <c r="BO132" s="215"/>
      <c r="BP132" s="215"/>
    </row>
    <row r="133" spans="61:68" s="1" customFormat="1" ht="10.5">
      <c r="BI133" s="215"/>
      <c r="BJ133" s="215"/>
      <c r="BK133" s="215"/>
      <c r="BL133" s="215"/>
      <c r="BM133" s="215"/>
      <c r="BN133" s="215"/>
      <c r="BO133" s="215"/>
      <c r="BP133" s="215"/>
    </row>
    <row r="134" spans="61:68" s="1" customFormat="1" ht="10.5">
      <c r="BI134" s="215"/>
      <c r="BJ134" s="215"/>
      <c r="BK134" s="215"/>
      <c r="BL134" s="215"/>
      <c r="BM134" s="215"/>
      <c r="BN134" s="215"/>
      <c r="BO134" s="215"/>
      <c r="BP134" s="215"/>
    </row>
    <row r="135" spans="61:68" s="1" customFormat="1" ht="10.5">
      <c r="BI135" s="215"/>
      <c r="BJ135" s="215"/>
      <c r="BK135" s="215"/>
      <c r="BL135" s="215"/>
      <c r="BM135" s="215"/>
      <c r="BN135" s="215"/>
      <c r="BO135" s="215"/>
      <c r="BP135" s="215"/>
    </row>
    <row r="136" spans="61:68" s="1" customFormat="1" ht="10.5">
      <c r="BI136" s="215"/>
      <c r="BJ136" s="215"/>
      <c r="BK136" s="215"/>
      <c r="BL136" s="215"/>
      <c r="BM136" s="215"/>
      <c r="BN136" s="215"/>
      <c r="BO136" s="215"/>
      <c r="BP136" s="215"/>
    </row>
    <row r="137" spans="61:68" s="1" customFormat="1" ht="10.5">
      <c r="BI137" s="215"/>
      <c r="BJ137" s="215"/>
      <c r="BK137" s="215"/>
      <c r="BL137" s="215"/>
      <c r="BM137" s="215"/>
      <c r="BN137" s="215"/>
      <c r="BO137" s="215"/>
      <c r="BP137" s="215"/>
    </row>
    <row r="138" spans="61:68" s="1" customFormat="1" ht="10.5">
      <c r="BI138" s="215"/>
      <c r="BJ138" s="215"/>
      <c r="BK138" s="215"/>
      <c r="BL138" s="215"/>
      <c r="BM138" s="215"/>
      <c r="BN138" s="215"/>
      <c r="BO138" s="215"/>
      <c r="BP138" s="215"/>
    </row>
    <row r="139" spans="61:68" s="1" customFormat="1" ht="10.5">
      <c r="BI139" s="215"/>
      <c r="BJ139" s="215"/>
      <c r="BK139" s="215"/>
      <c r="BL139" s="215"/>
      <c r="BM139" s="215"/>
      <c r="BN139" s="215"/>
      <c r="BO139" s="215"/>
      <c r="BP139" s="215"/>
    </row>
    <row r="140" spans="61:68" s="1" customFormat="1" ht="10.5">
      <c r="BI140" s="215"/>
      <c r="BJ140" s="215"/>
      <c r="BK140" s="215"/>
      <c r="BL140" s="215"/>
      <c r="BM140" s="215"/>
      <c r="BN140" s="215"/>
      <c r="BO140" s="215"/>
      <c r="BP140" s="215"/>
    </row>
    <row r="141" spans="61:68" s="1" customFormat="1" ht="10.5">
      <c r="BI141" s="215"/>
      <c r="BJ141" s="215"/>
      <c r="BK141" s="215"/>
      <c r="BL141" s="215"/>
      <c r="BM141" s="215"/>
      <c r="BN141" s="215"/>
      <c r="BO141" s="215"/>
      <c r="BP141" s="215"/>
    </row>
    <row r="142" spans="61:68" s="1" customFormat="1" ht="10.5">
      <c r="BI142" s="215"/>
      <c r="BJ142" s="215"/>
      <c r="BK142" s="215"/>
      <c r="BL142" s="215"/>
      <c r="BM142" s="215"/>
      <c r="BN142" s="215"/>
      <c r="BO142" s="215"/>
      <c r="BP142" s="215"/>
    </row>
    <row r="143" spans="61:68" s="1" customFormat="1" ht="10.5">
      <c r="BI143" s="215"/>
      <c r="BJ143" s="215"/>
      <c r="BK143" s="215"/>
      <c r="BL143" s="215"/>
      <c r="BM143" s="215"/>
      <c r="BN143" s="215"/>
      <c r="BO143" s="215"/>
      <c r="BP143" s="215"/>
    </row>
    <row r="144" spans="61:68" s="1" customFormat="1" ht="10.5">
      <c r="BI144" s="215"/>
      <c r="BJ144" s="215"/>
      <c r="BK144" s="215"/>
      <c r="BL144" s="215"/>
      <c r="BM144" s="215"/>
      <c r="BN144" s="215"/>
      <c r="BO144" s="215"/>
      <c r="BP144" s="215"/>
    </row>
    <row r="145" spans="8:60" ht="10.5">
      <c r="H145" s="1"/>
      <c r="O145" s="1"/>
      <c r="V145" s="1"/>
      <c r="AC145" s="1"/>
      <c r="AJ145" s="1"/>
      <c r="BA145" s="1"/>
      <c r="BB145" s="1"/>
      <c r="BC145" s="1"/>
      <c r="BD145" s="1"/>
      <c r="BE145" s="1"/>
      <c r="BF145" s="1"/>
      <c r="BG145" s="1"/>
      <c r="BH145" s="1"/>
    </row>
    <row r="146" spans="8:60">
      <c r="H146" s="1"/>
      <c r="O146" s="1"/>
    </row>
    <row r="147" spans="8:60">
      <c r="H147" s="1"/>
      <c r="O147" s="1"/>
    </row>
    <row r="148" spans="8:60">
      <c r="H148" s="1"/>
      <c r="O148" s="1"/>
    </row>
    <row r="149" spans="8:60">
      <c r="H149" s="1"/>
      <c r="O149" s="1"/>
    </row>
  </sheetData>
  <sheetProtection selectLockedCells="1" selectUnlockedCells="1"/>
  <mergeCells count="18">
    <mergeCell ref="N75:P75"/>
    <mergeCell ref="AM75:AO75"/>
    <mergeCell ref="N76:P76"/>
    <mergeCell ref="AM76:AO76"/>
    <mergeCell ref="P84:S84"/>
    <mergeCell ref="N77:P77"/>
    <mergeCell ref="AD77:AO77"/>
    <mergeCell ref="AM70:AO70"/>
    <mergeCell ref="AM73:AO73"/>
    <mergeCell ref="AM71:AO71"/>
    <mergeCell ref="C74:D74"/>
    <mergeCell ref="A36:AO36"/>
    <mergeCell ref="N71:P71"/>
    <mergeCell ref="N74:P74"/>
    <mergeCell ref="AM74:AO74"/>
    <mergeCell ref="A61:A63"/>
    <mergeCell ref="O72:P72"/>
    <mergeCell ref="AM72:AO72"/>
  </mergeCells>
  <phoneticPr fontId="10" type="noConversion"/>
  <dataValidations count="16">
    <dataValidation type="list" allowBlank="1" showInputMessage="1" showErrorMessage="1" sqref="AT2:AT41 AT65540:AT65579 AT131076:AT131115 AT196612:AT196651 AT262148:AT262187 AT327684:AT327723 AT393220:AT393259 AT458756:AT458795 AT524292:AT524331 AT589828:AT589867 AT655364:AT655403 AT720900:AT720939 AT786436:AT786475 AT851972:AT852011 AT917508:AT917547 AT983044:AT983083" xr:uid="{00000000-0002-0000-0000-000000000000}">
      <formula1>$AW$1:$AW$11</formula1>
    </dataValidation>
    <dataValidation type="list" allowBlank="1" showInputMessage="1" showErrorMessage="1" sqref="AR983044:AS983083 AR917508:AS917547 AR851972:AS852011 AR786436:AS786475 AR720900:AS720939 AR655364:AS655403 AR589828:AS589867 AR524292:AS524331 AR458756:AS458795 AR393220:AS393259 AR327684:AS327723 AR262148:AS262187 AR196612:AS196651 AR131076:AS131115 AR65540:AS65579" xr:uid="{00000000-0002-0000-0000-000001000000}">
      <formula1>#REF!</formula1>
    </dataValidation>
    <dataValidation type="list" allowBlank="1" showInputMessage="1" sqref="B60" xr:uid="{00000000-0002-0000-0000-000002000000}">
      <formula1>$BL$45:$BL$47</formula1>
    </dataValidation>
    <dataValidation type="list" allowBlank="1" showInputMessage="1" sqref="C60:AO60" xr:uid="{00000000-0002-0000-0000-000003000000}">
      <formula1>$BL$45:$BL$46</formula1>
    </dataValidation>
    <dataValidation type="list" allowBlank="1" showInputMessage="1" sqref="B61:AO63" xr:uid="{00000000-0002-0000-0000-000004000000}">
      <formula1>$BK$45:$BK$48</formula1>
    </dataValidation>
    <dataValidation type="list" allowBlank="1" showInputMessage="1" sqref="B58:AO58" xr:uid="{00000000-0002-0000-0000-000005000000}">
      <formula1>$BJ$45:$BJ$49</formula1>
    </dataValidation>
    <dataValidation type="list" allowBlank="1" showInputMessage="1" sqref="B41:AO55 B65:AO67" xr:uid="{00000000-0002-0000-0000-000006000000}">
      <formula1>$BM$45:$BM$46</formula1>
    </dataValidation>
    <dataValidation type="list" allowBlank="1" showInputMessage="1" sqref="B56:AO56" xr:uid="{00000000-0002-0000-0000-000007000000}">
      <formula1>$BN$45:$BN$50</formula1>
    </dataValidation>
    <dataValidation type="list" allowBlank="1" showInputMessage="1" sqref="B69:AO69" xr:uid="{00000000-0002-0000-0000-000008000000}">
      <formula1>$BO$45:$BO$46</formula1>
    </dataValidation>
    <dataValidation type="list" allowBlank="1" showInputMessage="1" sqref="AR2:AR41" xr:uid="{00000000-0002-0000-0000-000009000000}">
      <formula1>$BO$2:$BO$32</formula1>
    </dataValidation>
    <dataValidation type="list" allowBlank="1" showInputMessage="1" showErrorMessage="1" sqref="AS2:AS41" xr:uid="{00000000-0002-0000-0000-00000A000000}">
      <formula1>$BP$2:$BP$32</formula1>
    </dataValidation>
    <dataValidation type="list" allowBlank="1" showInputMessage="1" showErrorMessage="1" sqref="AD77" xr:uid="{00000000-0002-0000-0000-00000B000000}">
      <formula1>$BM$27:$BM$30</formula1>
    </dataValidation>
    <dataValidation type="list" showDropDown="1" showInputMessage="1" sqref="AD77" xr:uid="{00000000-0002-0000-0000-00000C000000}">
      <formula1>$BM$28:$BM$30</formula1>
    </dataValidation>
    <dataValidation type="list" allowBlank="1" showInputMessage="1" sqref="N74:P77 AM70:AO75" xr:uid="{00000000-0002-0000-0000-00000D000000}">
      <formula1>$AQ$2:$AQ$41</formula1>
    </dataValidation>
    <dataValidation type="list" allowBlank="1" showInputMessage="1" showErrorMessage="1" sqref="AM76:AO76" xr:uid="{00000000-0002-0000-0000-00000E000000}">
      <formula1>$BM$2:$BM$12</formula1>
    </dataValidation>
    <dataValidation type="list" allowBlank="1" showInputMessage="1" showErrorMessage="1" sqref="N71:P71" xr:uid="{00000000-0002-0000-0000-00000F000000}">
      <formula1>$BQ$2:$BQ$81</formula1>
    </dataValidation>
  </dataValidations>
  <printOptions horizontalCentered="1"/>
  <pageMargins left="0.11805555555555555" right="0" top="0.39374999999999999" bottom="0" header="0.51180555555555551" footer="0.51180555555555551"/>
  <pageSetup paperSize="9" scale="72" firstPageNumber="0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1A0AFC-3B76-4518-BB9B-C5AF56E8B3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Карта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Nazarov</dc:creator>
  <cp:lastModifiedBy>User</cp:lastModifiedBy>
  <cp:lastPrinted>2025-06-19T20:11:27Z</cp:lastPrinted>
  <dcterms:created xsi:type="dcterms:W3CDTF">2014-03-22T12:13:19Z</dcterms:created>
  <dcterms:modified xsi:type="dcterms:W3CDTF">2026-10-05T04:46:01Z</dcterms:modified>
</cp:coreProperties>
</file>